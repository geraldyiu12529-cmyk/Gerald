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  <row r="59">
      <c r="A59" t="inlineStr">
        <is>
          <t>P016</t>
        </is>
      </c>
      <c r="B59" t="inlineStr">
        <is>
          <t>Promoted</t>
        </is>
      </c>
      <c r="C59" s="34" t="n">
        <v>46134</v>
      </c>
      <c r="D59" t="inlineStr">
        <is>
          <t>Brent</t>
        </is>
      </c>
      <c r="E59" t="inlineStr">
        <is>
          <t>Commodity</t>
        </is>
      </c>
      <c r="F59" t="inlineStr">
        <is>
          <t>Long</t>
        </is>
      </c>
      <c r="G59" t="n">
        <v>1</v>
      </c>
      <c r="H59" t="n">
        <v>1</v>
      </c>
      <c r="I59" t="n">
        <v>0</v>
      </c>
      <c r="J59" t="n">
        <v>1</v>
      </c>
      <c r="K59" t="n">
        <v>3</v>
      </c>
      <c r="L59" t="n">
        <v>94.25</v>
      </c>
      <c r="M59" t="n">
        <v>90.5</v>
      </c>
      <c r="N59" t="n">
        <v>98</v>
      </c>
      <c r="O59" t="n">
        <v>102</v>
      </c>
      <c r="P59" t="inlineStr">
        <is>
          <t>Iran deal confirmed -&gt; Brent &lt;$88; Hormuz re-opens shipping &gt;70% normal within 10d</t>
        </is>
      </c>
      <c r="Q59" s="34" t="n">
        <v>46164</v>
      </c>
      <c r="R59" t="n">
        <v>19.1</v>
      </c>
      <c r="S59" t="inlineStr">
        <is>
          <t>RISK-ON (FRAGILE) / GEOPOLITICAL-BINARY - CEASEFIRE EXTENDED, HORMUZ BLOCKED</t>
        </is>
      </c>
      <c r="V59" t="inlineStr">
        <is>
          <t>YES</t>
        </is>
      </c>
      <c r="W59" t="inlineStr">
        <is>
          <t>OPEN</t>
        </is>
      </c>
      <c r="AE59" t="inlineStr">
        <is>
          <t>2026-04-22/trade-rec-2026-04-22.md</t>
        </is>
      </c>
      <c r="AF59" t="inlineStr">
        <is>
          <t>Commodity sleeve CONFIRMED ON first time (V034 GSG 31.75 &gt; 10m-SMA 25.35). Primary commodity promotion post-gate. Size 0.75% (corr+binary haircut + TSLA earnings tonight cross-asset risk + FOMC Apr-28 tail). PARTIAL checklist #6 (C=0, structural edge only) - same precedent as P009 SPY half-size. | FILLED 2026-04-22 21:33:20 UTC+8 @ 95.13 limit/buy (BZUSDT Perp, 1,006.48 USDT, ~10.58 units). Fill $0.63 above upper rec range $94.50. Actual fill captured here; Entry_Price 94.25 preserved as signal-time rec price. | SIZE REDUCED 2026-04-22 22:27 UTC+8 -- sold 147.21 USDT @ 94.97 market reduce-only (BZUSDT Perp). Remaining: 859.27 USDT (~9.03 units). Reason: overexposure correction. Heat 3.09% -&gt; 2.91%.</t>
        </is>
      </c>
      <c r="AG59" t="inlineStr">
        <is>
          <t>Equity:ON Intl:ON Commodity:ON Crypto:OFF</t>
        </is>
      </c>
      <c r="AH59" t="inlineStr">
        <is>
          <t>CapitalExpansion(+1.65)</t>
        </is>
      </c>
      <c r="AI59" t="inlineStr">
        <is>
          <t>n/a (commodity)</t>
        </is>
      </c>
      <c r="AJ59" t="inlineStr">
        <is>
          <t>n/a (commodity)</t>
        </is>
      </c>
    </row>
    <row r="60">
      <c r="A60" t="inlineStr">
        <is>
          <t>P017</t>
        </is>
      </c>
      <c r="B60" t="inlineStr">
        <is>
          <t>Promoted</t>
        </is>
      </c>
      <c r="C60" s="34" t="n">
        <v>46134</v>
      </c>
      <c r="D60" t="inlineStr">
        <is>
          <t>BTCUSDT</t>
        </is>
      </c>
      <c r="E60" t="inlineStr">
        <is>
          <t>Crypto</t>
        </is>
      </c>
      <c r="F60" t="inlineStr">
        <is>
          <t>Long</t>
        </is>
      </c>
      <c r="G60" t="n">
        <v>1</v>
      </c>
      <c r="H60" t="n">
        <v>1</v>
      </c>
      <c r="I60" t="n">
        <v>1</v>
      </c>
      <c r="J60" t="n">
        <v>0</v>
      </c>
      <c r="K60" t="n">
        <v>3</v>
      </c>
      <c r="P60" t="inlineStr">
        <is>
          <t>Active addr &lt;400k (structural S collapse); BTC &lt;$75k 5th support test break</t>
        </is>
      </c>
      <c r="R60" t="n">
        <v>19.1</v>
      </c>
      <c r="S60" t="inlineStr">
        <is>
          <t>RISK-ON (FRAGILE) / GEOPOLITICAL-BINARY - CEASEFIRE EXTENDED, HORMUZ BLOCKED</t>
        </is>
      </c>
      <c r="U60" t="inlineStr">
        <is>
          <t>OverlayGateOff (Crypto sleeve OFF - BTC $78,357 &lt; 10m-SMA $91,523)</t>
        </is>
      </c>
      <c r="V60" t="inlineStr">
        <is>
          <t>NO</t>
        </is>
      </c>
      <c r="W60" t="inlineStr">
        <is>
          <t>GATE-BLOCKED</t>
        </is>
      </c>
      <c r="AE60" t="inlineStr">
        <is>
          <t>2026-04-22/trade-rec-2026-04-22.md</t>
        </is>
      </c>
      <c r="AF60" t="inlineStr">
        <is>
          <t>S flipped 0-&gt;+1 on active addresses 478,903 &gt; 400K threshold. Crypto sleeve OFF per V035 Faber 10m-SMA. Next gate review May-01 (Apr-30 close). BTC needs +17.1% to $91.5k for gate ON.</t>
        </is>
      </c>
      <c r="AG60" t="inlineStr">
        <is>
          <t>Equity:ON Intl:ON Commodity:ON Crypto:OFF</t>
        </is>
      </c>
      <c r="AH60" t="inlineStr">
        <is>
          <t>CapitalExpansion(+1.65)</t>
        </is>
      </c>
    </row>
    <row r="61">
      <c r="A61" t="inlineStr">
        <is>
          <t>N042</t>
        </is>
      </c>
      <c r="B61" t="inlineStr">
        <is>
          <t>Near-Miss</t>
        </is>
      </c>
      <c r="C61" s="34" t="n">
        <v>46134</v>
      </c>
      <c r="D61" t="inlineStr">
        <is>
          <t>WTI</t>
        </is>
      </c>
      <c r="E61" t="inlineStr">
        <is>
          <t>Commodity</t>
        </is>
      </c>
      <c r="F61" t="inlineStr">
        <is>
          <t>Long</t>
        </is>
      </c>
      <c r="G61" t="n">
        <v>1</v>
      </c>
      <c r="H61" t="n">
        <v>1</v>
      </c>
      <c r="I61" t="n">
        <v>0</v>
      </c>
      <c r="J61" t="n">
        <v>1</v>
      </c>
      <c r="K61" t="n">
        <v>3</v>
      </c>
      <c r="R61" t="n">
        <v>19.1</v>
      </c>
      <c r="S61" t="inlineStr">
        <is>
          <t>RISK-ON (FRAGILE) / GEOPOLITICAL-BINARY - CEASEFIRE EXTENDED, HORMUZ BLOCKED</t>
        </is>
      </c>
      <c r="T61" t="inlineStr">
        <is>
          <t>Corr+STALE_T3</t>
        </is>
      </c>
      <c r="V61" t="inlineStr">
        <is>
          <t>No</t>
        </is>
      </c>
      <c r="W61" t="inlineStr">
        <is>
          <t>OPEN</t>
        </is>
      </c>
      <c r="AE61" t="inlineStr">
        <is>
          <t>2026-04-22/trade-rec-2026-04-22.md</t>
        </is>
      </c>
      <c r="AF61" t="inlineStr">
        <is>
          <t>Correlation-blocked behind Brent + basis-mom T3 STALE Apr-17 at 5d limit. Would promote if Brent fails or fresh WTI basis-mom lands non-divergent.</t>
        </is>
      </c>
      <c r="AG61" t="inlineStr">
        <is>
          <t>Equity:ON Intl:ON Commodity:ON Crypto:OFF</t>
        </is>
      </c>
      <c r="AH61" t="inlineStr">
        <is>
          <t>CapitalExpansion(+1.65)</t>
        </is>
      </c>
    </row>
    <row r="62">
      <c r="A62" t="inlineStr">
        <is>
          <t>N043</t>
        </is>
      </c>
      <c r="B62" t="inlineStr">
        <is>
          <t>Near-Miss</t>
        </is>
      </c>
      <c r="C62" s="34" t="n">
        <v>46134</v>
      </c>
      <c r="D62" t="inlineStr">
        <is>
          <t>Silver</t>
        </is>
      </c>
      <c r="E62" t="inlineStr">
        <is>
          <t>Commodity</t>
        </is>
      </c>
      <c r="F62" t="inlineStr">
        <is>
          <t>Long</t>
        </is>
      </c>
      <c r="G62" t="n">
        <v>1</v>
      </c>
      <c r="H62" t="n">
        <v>1</v>
      </c>
      <c r="I62" t="n">
        <v>0</v>
      </c>
      <c r="J62" t="n">
        <v>1</v>
      </c>
      <c r="K62" t="n">
        <v>3</v>
      </c>
      <c r="R62" t="n">
        <v>19.1</v>
      </c>
      <c r="S62" t="inlineStr">
        <is>
          <t>RISK-ON (FRAGILE) / GEOPOLITICAL-BINARY - CEASEFIRE EXTENDED, HORMUZ BLOCKED</t>
        </is>
      </c>
      <c r="T62" t="inlineStr">
        <is>
          <t>Corr</t>
        </is>
      </c>
      <c r="V62" t="inlineStr">
        <is>
          <t>No</t>
        </is>
      </c>
      <c r="W62" t="inlineStr">
        <is>
          <t>OPEN</t>
        </is>
      </c>
      <c r="AE62" t="inlineStr">
        <is>
          <t>2026-04-22/trade-rec-2026-04-22.md</t>
        </is>
      </c>
      <c r="AF62" t="inlineStr">
        <is>
          <t>Gate-UNBLOCKED today (sleeve CONFIRMED ON) but correlation-gated behind Brent. Promotes if Brent fills + sector cap has room, or industrial-surprise C+1.</t>
        </is>
      </c>
      <c r="AG62" t="inlineStr">
        <is>
          <t>Equity:ON Intl:ON Commodity:ON Crypto:OFF</t>
        </is>
      </c>
      <c r="AH62" t="inlineStr">
        <is>
          <t>CapitalExpansion(+1.65)</t>
        </is>
      </c>
    </row>
    <row r="63">
      <c r="A63" t="inlineStr">
        <is>
          <t>N044</t>
        </is>
      </c>
      <c r="B63" t="inlineStr">
        <is>
          <t>Near-Miss</t>
        </is>
      </c>
      <c r="C63" s="34" t="n">
        <v>46134</v>
      </c>
      <c r="D63" t="inlineStr">
        <is>
          <t>Copper</t>
        </is>
      </c>
      <c r="E63" t="inlineStr">
        <is>
          <t>Commodity</t>
        </is>
      </c>
      <c r="F63" t="inlineStr">
        <is>
          <t>Long</t>
        </is>
      </c>
      <c r="G63" t="n">
        <v>1</v>
      </c>
      <c r="H63" t="n">
        <v>1</v>
      </c>
      <c r="I63" t="n">
        <v>0</v>
      </c>
      <c r="J63" t="n">
        <v>1</v>
      </c>
      <c r="K63" t="n">
        <v>3</v>
      </c>
      <c r="R63" t="n">
        <v>19.1</v>
      </c>
      <c r="S63" t="inlineStr">
        <is>
          <t>RISK-ON (FRAGILE) / GEOPOLITICAL-BINARY - CEASEFIRE EXTENDED, HORMUZ BLOCKED</t>
        </is>
      </c>
      <c r="T63" t="inlineStr">
        <is>
          <t>C</t>
        </is>
      </c>
      <c r="V63" t="inlineStr">
        <is>
          <t>No</t>
        </is>
      </c>
      <c r="W63" t="inlineStr">
        <is>
          <t>OPEN</t>
        </is>
      </c>
      <c r="AE63" t="inlineStr">
        <is>
          <t>2026-04-22/trade-rec-2026-04-22.md</t>
        </is>
      </c>
      <c r="AF63" t="inlineStr">
        <is>
          <t>China PMI &gt;50.5 needed. Next print May-01. Correlation-gate also behind Brent within commodity sector cap.</t>
        </is>
      </c>
      <c r="AG63" t="inlineStr">
        <is>
          <t>Equity:ON Intl:ON Commodity:ON Crypto:OFF</t>
        </is>
      </c>
      <c r="AH63" t="inlineStr">
        <is>
          <t>CapitalExpansion(+1.65)</t>
        </is>
      </c>
    </row>
    <row r="64">
      <c r="A64" t="inlineStr">
        <is>
          <t>N045</t>
        </is>
      </c>
      <c r="B64" t="inlineStr">
        <is>
          <t>Near-Miss</t>
        </is>
      </c>
      <c r="C64" s="34" t="n">
        <v>46134</v>
      </c>
      <c r="D64" t="inlineStr">
        <is>
          <t>WDC</t>
        </is>
      </c>
      <c r="E64" t="inlineStr">
        <is>
          <t>Equity-single</t>
        </is>
      </c>
      <c r="F64" t="inlineStr">
        <is>
          <t>Long</t>
        </is>
      </c>
      <c r="G64" t="n">
        <v>1</v>
      </c>
      <c r="H64" t="n">
        <v>1</v>
      </c>
      <c r="I64" t="n">
        <v>0</v>
      </c>
      <c r="J64" t="n">
        <v>1</v>
      </c>
      <c r="K64" t="n">
        <v>3</v>
      </c>
      <c r="R64" t="n">
        <v>19.1</v>
      </c>
      <c r="S64" t="inlineStr">
        <is>
          <t>RISK-ON (FRAGILE) / GEOPOLITICAL-BINARY - CEASEFIRE EXTENDED, HORMUZ BLOCKED</t>
        </is>
      </c>
      <c r="T64" t="inlineStr">
        <is>
          <t>C</t>
        </is>
      </c>
      <c r="V64" t="inlineStr">
        <is>
          <t>No</t>
        </is>
      </c>
      <c r="W64" t="inlineStr">
        <is>
          <t>OPEN</t>
        </is>
      </c>
      <c r="AE64" t="inlineStr">
        <is>
          <t>2026-04-22/trade-rec-2026-04-22.md</t>
        </is>
      </c>
      <c r="AF64" t="inlineStr">
        <is>
          <t>Residual +2.38% (borderline T+1); no near-term catalyst. Re-evaluate at AI/data-center news flow or earnings.</t>
        </is>
      </c>
      <c r="AG64" t="inlineStr">
        <is>
          <t>Equity:ON Intl:ON Commodity:ON Crypto:OFF</t>
        </is>
      </c>
      <c r="AH64" t="inlineStr">
        <is>
          <t>CapitalExpansion(+1.65)</t>
        </is>
      </c>
    </row>
    <row r="65">
      <c r="A65" t="inlineStr">
        <is>
          <t>N046</t>
        </is>
      </c>
      <c r="B65" t="inlineStr">
        <is>
          <t>Near-Miss</t>
        </is>
      </c>
      <c r="C65" s="34" t="n">
        <v>46134</v>
      </c>
      <c r="D65" t="inlineStr">
        <is>
          <t>NVDA</t>
        </is>
      </c>
      <c r="E65" t="inlineStr">
        <is>
          <t>Equity-single</t>
        </is>
      </c>
      <c r="F65" t="inlineStr">
        <is>
          <t>Long</t>
        </is>
      </c>
      <c r="G65" t="n">
        <v>1</v>
      </c>
      <c r="H65" t="n">
        <v>0</v>
      </c>
      <c r="I65" t="n">
        <v>1</v>
      </c>
      <c r="J65" t="n">
        <v>1</v>
      </c>
      <c r="K65" t="n">
        <v>3</v>
      </c>
      <c r="R65" t="n">
        <v>19.1</v>
      </c>
      <c r="S65" t="inlineStr">
        <is>
          <t>RISK-ON (FRAGILE) / GEOPOLITICAL-BINARY - CEASEFIRE EXTENDED, HORMUZ BLOCKED</t>
        </is>
      </c>
      <c r="T65" t="inlineStr">
        <is>
          <t>T</t>
        </is>
      </c>
      <c r="V65" t="inlineStr">
        <is>
          <t>No</t>
        </is>
      </c>
      <c r="W65" t="inlineStr">
        <is>
          <t>OPEN</t>
        </is>
      </c>
      <c r="AE65" t="inlineStr">
        <is>
          <t>2026-04-22/trade-rec-2026-04-22.md</t>
        </is>
      </c>
      <c r="AF65" t="inlineStr">
        <is>
          <t>Residual -1.00% (T=0); raw TSMOM +53.55% (trust residual per methodology). C+1 for GOOGL Apr-29 AI read-through. Promotes if residual flips &gt;+2%.</t>
        </is>
      </c>
      <c r="AG65" t="inlineStr">
        <is>
          <t>Equity:ON Intl:ON Commodity:ON Crypto:OFF</t>
        </is>
      </c>
      <c r="AH65" t="inlineStr">
        <is>
          <t>CapitalExpansion(+1.65)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3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PENDING</t>
        </is>
      </c>
      <c r="R9" s="16" t="n"/>
      <c r="S9" s="16" t="n"/>
      <c r="T9" s="16" t="n"/>
      <c r="U9" s="16" t="inlineStr">
        <is>
          <t>PENDING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PENDING</t>
        </is>
      </c>
      <c r="R10" s="16" t="n"/>
      <c r="S10" s="16" t="n"/>
      <c r="T10" s="16" t="n"/>
      <c r="U10" s="16" t="inlineStr">
        <is>
          <t>PENDING</t>
        </is>
      </c>
      <c r="V10" s="16" t="n"/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t="inlineStr">
        <is>
          <t>H013</t>
        </is>
      </c>
      <c r="B14" s="34" t="n">
        <v>46134</v>
      </c>
      <c r="C14" t="inlineStr">
        <is>
          <t>trade-rec-2026-04-22 v1</t>
        </is>
      </c>
      <c r="D14" t="inlineStr">
        <is>
          <t>Brent</t>
        </is>
      </c>
      <c r="E14" t="inlineStr">
        <is>
          <t>Long</t>
        </is>
      </c>
      <c r="F14" t="n">
        <v>1</v>
      </c>
      <c r="G14" t="n">
        <v>1</v>
      </c>
      <c r="H14" t="n">
        <v>0</v>
      </c>
      <c r="I14" t="n">
        <v>1</v>
      </c>
      <c r="J14" t="n">
        <v>3</v>
      </c>
      <c r="K14" t="n">
        <v>94.25</v>
      </c>
      <c r="L14" t="n">
        <v>90.5</v>
      </c>
      <c r="M14" t="n">
        <v>98</v>
      </c>
      <c r="N14" t="n">
        <v>102</v>
      </c>
      <c r="O14" s="34" t="n">
        <v>46164</v>
      </c>
      <c r="P14" t="n">
        <v>0.0075</v>
      </c>
      <c r="Q14" t="inlineStr">
        <is>
          <t>PENDING</t>
        </is>
      </c>
      <c r="R14" t="n">
        <v>94.25</v>
      </c>
      <c r="U14" t="inlineStr">
        <is>
          <t>PENDING</t>
        </is>
      </c>
      <c r="Y14" t="inlineStr">
        <is>
          <t>Commodity sleeve CONFIRMED ON first time; primary post-gate promotion; corr+binary haircut 0.75%</t>
        </is>
      </c>
    </row>
    <row r="15">
      <c r="A15" s="25" t="inlineStr">
        <is>
          <t>PERFORMANCE SUMMARY (auto-updated by signal-review)</t>
        </is>
      </c>
    </row>
    <row r="16">
      <c r="A16" s="26" t="inlineStr">
        <is>
          <t>Formally Promoted (OPEN+PENDING+FLAGGED)</t>
        </is>
      </c>
      <c r="B16" s="27">
        <f>COUNTIF(Q2:Q13,"OPEN")+COUNTIF(Q2:Q13,"PENDING")+COUNTIF(Q2:Q13,"FLAGGED")</f>
        <v/>
      </c>
    </row>
    <row r="17">
      <c r="A17" s="26" t="inlineStr">
        <is>
          <t>OPEN (marked-to-market)</t>
        </is>
      </c>
      <c r="B17" s="27">
        <f>COUNTIF(Q2:Q13,"OPEN")</f>
        <v/>
      </c>
    </row>
    <row r="18">
      <c r="A18" s="26" t="inlineStr">
        <is>
          <t>PENDING (entry trigger)</t>
        </is>
      </c>
      <c r="B18" s="27">
        <f>COUNTIF(Q2:Q13,"PENDING")</f>
        <v/>
      </c>
    </row>
    <row r="19">
      <c r="A19" s="26" t="inlineStr">
        <is>
          <t>VOIDED (de-promoted same session)</t>
        </is>
      </c>
      <c r="B19" s="27">
        <f>COUNTIF(Q2:Q13,"VOIDED")</f>
        <v/>
      </c>
    </row>
    <row r="20">
      <c r="A20" s="26" t="inlineStr">
        <is>
          <t>FLAGGED (Sum&gt;=3, not formally promoted)</t>
        </is>
      </c>
      <c r="B20" s="27">
        <f>COUNTIF(Q2:Q13,"FLAGGED")</f>
        <v/>
      </c>
    </row>
    <row r="21">
      <c r="A21" s="26" t="inlineStr">
        <is>
          <t>Hypo Avg PnL% -- OPEN signals</t>
        </is>
      </c>
      <c r="B21" s="28">
        <f>AVERAGEIF(Q2:Q13,"OPEN",T2:T13)</f>
        <v/>
      </c>
    </row>
    <row r="22">
      <c r="A22" s="26" t="inlineStr">
        <is>
          <t>Actual Avg PnL% -- closed YES</t>
        </is>
      </c>
      <c r="B22" s="28">
        <f>AVERAGEIFS(X2:X13,U2:U13,"YES",W2:W13,"&lt;&gt;"&amp;"")</f>
        <v/>
      </c>
    </row>
    <row r="23">
      <c r="A23" s="26" t="inlineStr">
        <is>
          <t>Last updated</t>
        </is>
      </c>
      <c r="B23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2026-04-22T14:32:07Z</dcterms:modified>
  <cp:lastModifiedBy>Gerald Yiu</cp:lastModifiedBy>
  <cp:revision>0</cp:revision>
</cp:coreProperties>
</file>