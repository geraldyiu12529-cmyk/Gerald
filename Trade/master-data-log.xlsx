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0" activeTab="4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yyyy\-mm\-dd\ h:mm:ss"/>
    <numFmt numFmtId="166" formatCode="yyyy-mm-dd"/>
    <numFmt numFmtId="167" formatCode="yyyy-mm-dd h:mm:ss"/>
    <numFmt numFmtId="168" formatCode="0.00%;(0.00%);&quot;-&quot;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001F4E79"/>
        <bgColor rgb="001F4E79"/>
      </patternFill>
    </fill>
    <fill>
      <patternFill patternType="solid">
        <fgColor rgb="00DEEAF1"/>
        <bgColor rgb="00DEEAF1"/>
      </patternFill>
    </fill>
    <fill>
      <patternFill patternType="solid">
        <fgColor rgb="00D6D6D6"/>
        <bgColor rgb="00D6D6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8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6" fontId="0" fillId="1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7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8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7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7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7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7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7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7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7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7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7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7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7" t="n">
        <v>46134</v>
      </c>
      <c r="AD37" s="17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7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7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7" t="n">
        <v>46133</v>
      </c>
      <c r="B21" s="17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7" t="n">
        <v>46133</v>
      </c>
      <c r="B22" s="17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7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7" t="n">
        <v>46133</v>
      </c>
      <c r="B23" s="17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7" t="n">
        <v>46133</v>
      </c>
      <c r="B24" s="17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7" t="n">
        <v>46133</v>
      </c>
      <c r="B25" s="17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7" t="n">
        <v>46133</v>
      </c>
      <c r="B26" s="17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7" t="n">
        <v>46133</v>
      </c>
      <c r="B27" s="17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7" t="n">
        <v>46133</v>
      </c>
      <c r="B28" s="17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7" t="n">
        <v>46133</v>
      </c>
      <c r="B29" s="17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7" t="n">
        <v>46133</v>
      </c>
      <c r="B30" s="17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7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6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6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6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6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6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6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6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7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7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7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7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7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7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7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7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33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15">
      <c r="B40" t="inlineStr">
        <is>
          <t>Producer: daily-trade-rec skill Step 8.5 (appends H### rows at rec time)</t>
        </is>
      </c>
    </row>
    <row r="41" ht="15" customHeight="1" s="15">
      <c r="B41" t="inlineStr">
        <is>
          <t>Consumer: signal-review (marks to market weekly, produces dim-14 efficacy report in PerformanceStats)</t>
        </is>
      </c>
    </row>
    <row r="42" ht="15" customHeight="1" s="15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15">
      <c r="A43" s="6" t="n"/>
    </row>
    <row r="44" ht="15" customHeight="1" s="15">
      <c r="A44" s="10" t="inlineStr">
        <is>
          <t>RULES:</t>
        </is>
      </c>
    </row>
    <row r="45" ht="15" customHeight="1" s="15">
      <c r="A45" s="11" t="inlineStr">
        <is>
          <t>1. SignalLedger is append-only. Never delete or retroactively edit rows.</t>
        </is>
      </c>
    </row>
    <row r="46" ht="15" customHeight="1" s="15">
      <c r="A46" s="11" t="inlineStr">
        <is>
          <t>2. DailyVariables: one row per trading day. Overwrite only if same-day correction (note in Source_Brief).</t>
        </is>
      </c>
    </row>
    <row r="47" ht="15" customHeight="1" s="15">
      <c r="A47" s="11" t="inlineStr">
        <is>
          <t>3. VariableRegistry: variables can change status but are never deleted. Rejected/Retired variables stay for audit trail.</t>
        </is>
      </c>
    </row>
    <row r="48" ht="15" customHeight="1" s="15">
      <c r="A48" s="11" t="inlineStr">
        <is>
          <t>4. Markdown files remain the human-readable presentation layer. This workbook is the analytical layer.</t>
        </is>
      </c>
    </row>
    <row r="49" ht="15" customHeight="1" s="15">
      <c r="A49" s="11" t="inlineStr">
        <is>
          <t>5. If markdown and Excel diverge, Excel is source of truth for quantitative data.</t>
        </is>
      </c>
    </row>
    <row r="50" ht="15" customHeight="1" s="15">
      <c r="A50" s="6" t="n"/>
    </row>
    <row r="51" ht="15" customHeight="1" s="15">
      <c r="A51" s="10" t="inlineStr">
        <is>
          <t>VARIABLE DISCOVERY SYSTEM:</t>
        </is>
      </c>
    </row>
    <row r="52" ht="15" customHeight="1" s="15">
      <c r="A52" s="11" t="inlineStr">
        <is>
          <t>Status Ladder:</t>
        </is>
      </c>
    </row>
    <row r="53" ht="15" customHeight="1" s="15">
      <c r="A53" s="6" t="inlineStr">
        <is>
          <t xml:space="preserve">  Candidate — plausible idea, not yet assessed</t>
        </is>
      </c>
    </row>
    <row r="54" ht="15" customHeight="1" s="15">
      <c r="A54" s="6" t="inlineStr">
        <is>
          <t xml:space="preserve">  Watchlist — weak or mixed evidence, worth tracking over time</t>
        </is>
      </c>
    </row>
    <row r="55" ht="15" customHeight="1" s="15">
      <c r="A55" s="6" t="inlineStr">
        <is>
          <t xml:space="preserve">  Under Review — being actively assessed with data</t>
        </is>
      </c>
    </row>
    <row r="56" ht="15" customHeight="1" s="15">
      <c r="A56" s="6" t="inlineStr">
        <is>
          <t xml:space="preserve">  Provisionally Useful — seems helpful but not fully trusted (pilot phase)</t>
        </is>
      </c>
    </row>
    <row r="57" ht="15" customHeight="1" s="15">
      <c r="A57" s="6" t="inlineStr">
        <is>
          <t xml:space="preserve">  Approved — good enough for regular use, pending Grade A evidence</t>
        </is>
      </c>
    </row>
    <row r="58" ht="15" customHeight="1" s="15">
      <c r="A58" s="6" t="inlineStr">
        <is>
          <t xml:space="preserve">  Grade A — strong evidence, repeated usefulness, in core methodology</t>
        </is>
      </c>
    </row>
    <row r="59" ht="15" customHeight="1" s="15">
      <c r="A59" s="6" t="inlineStr">
        <is>
          <t xml:space="preserve">  Rejected — failed screening or proved unhelpful; kept for audit trail</t>
        </is>
      </c>
    </row>
    <row r="60" ht="15" customHeight="1" s="15">
      <c r="A60" s="6" t="inlineStr">
        <is>
          <t xml:space="preserve">  Retired — was useful but no longer (regime change, decay, etc.)</t>
        </is>
      </c>
    </row>
    <row r="61" ht="15" customHeight="1" s="15">
      <c r="A61" s="6" t="n"/>
    </row>
    <row r="62" ht="15" customHeight="1" s="15">
      <c r="A62" s="11" t="inlineStr">
        <is>
          <t>Review Cadence:</t>
        </is>
      </c>
    </row>
    <row r="63" ht="15" customHeight="1" s="15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7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15" min="1" max="1"/>
    <col width="12" customWidth="1" style="15" min="2" max="2"/>
    <col width="30" customWidth="1" style="15" min="3" max="3"/>
    <col width="8" customWidth="1" style="15" min="4" max="4"/>
    <col width="10" customWidth="1" style="15" min="5" max="5"/>
    <col width="5" customWidth="1" style="15" min="6" max="6"/>
    <col width="5" customWidth="1" style="15" min="7" max="7"/>
    <col width="5" customWidth="1" style="15" min="8" max="8"/>
    <col width="5" customWidth="1" style="15" min="9" max="9"/>
    <col width="5" customWidth="1" style="15" min="10" max="10"/>
    <col width="16" customWidth="1" style="15" min="11" max="11"/>
    <col width="10" customWidth="1" style="15" min="12" max="12"/>
    <col width="10" customWidth="1" style="15" min="13" max="13"/>
    <col width="10" customWidth="1" style="15" min="14" max="14"/>
    <col width="12" customWidth="1" style="15" min="15" max="15"/>
    <col width="10" customWidth="1" style="15" min="16" max="16"/>
    <col width="10" customWidth="1" style="15" min="17" max="17"/>
    <col width="17" customWidth="1" style="15" min="18" max="18"/>
    <col width="17" customWidth="1" style="15" min="19" max="19"/>
    <col width="12" customWidth="1" style="15" min="20" max="20"/>
    <col width="13" customWidth="1" style="15" min="21" max="21"/>
    <col width="13" customWidth="1" style="15" min="22" max="22"/>
    <col width="13" customWidth="1" style="15" min="23" max="23"/>
    <col width="13" customWidth="1" style="15" min="24" max="24"/>
    <col width="72" customWidth="1" style="15" min="25" max="25"/>
  </cols>
  <sheetData>
    <row r="1" ht="30" customHeight="1" s="15">
      <c r="A1" s="19" t="inlineStr">
        <is>
          <t>H_ID</t>
        </is>
      </c>
      <c r="B1" s="19" t="inlineStr">
        <is>
          <t>Rec_Date</t>
        </is>
      </c>
      <c r="C1" s="19" t="inlineStr">
        <is>
          <t>Rec_File</t>
        </is>
      </c>
      <c r="D1" s="19" t="inlineStr">
        <is>
          <t>Asset</t>
        </is>
      </c>
      <c r="E1" s="19" t="inlineStr">
        <is>
          <t>Direction</t>
        </is>
      </c>
      <c r="F1" s="19" t="inlineStr">
        <is>
          <t>S</t>
        </is>
      </c>
      <c r="G1" s="19" t="inlineStr">
        <is>
          <t>T</t>
        </is>
      </c>
      <c r="H1" s="19" t="inlineStr">
        <is>
          <t>C</t>
        </is>
      </c>
      <c r="I1" s="19" t="inlineStr">
        <is>
          <t>R</t>
        </is>
      </c>
      <c r="J1" s="19" t="inlineStr">
        <is>
          <t>Sum</t>
        </is>
      </c>
      <c r="K1" s="19" t="inlineStr">
        <is>
          <t>Entry_Price_Rec</t>
        </is>
      </c>
      <c r="L1" s="19" t="inlineStr">
        <is>
          <t>Stop_Rec</t>
        </is>
      </c>
      <c r="M1" s="19" t="inlineStr">
        <is>
          <t>TP1_Rec</t>
        </is>
      </c>
      <c r="N1" s="19" t="inlineStr">
        <is>
          <t>TP2_Rec</t>
        </is>
      </c>
      <c r="O1" s="19" t="inlineStr">
        <is>
          <t>Inv_Date</t>
        </is>
      </c>
      <c r="P1" s="19" t="inlineStr">
        <is>
          <t>Size_Rec_%</t>
        </is>
      </c>
      <c r="Q1" s="19" t="inlineStr">
        <is>
          <t>Status</t>
        </is>
      </c>
      <c r="R1" s="19" t="inlineStr">
        <is>
          <t>Hypo_Entry_Price</t>
        </is>
      </c>
      <c r="S1" s="19" t="inlineStr">
        <is>
          <t>Hypo_Current_Price</t>
        </is>
      </c>
      <c r="T1" s="19" t="inlineStr">
        <is>
          <t>Hypo_PnL_%</t>
        </is>
      </c>
      <c r="U1" s="19" t="inlineStr">
        <is>
          <t>Actual_Taken</t>
        </is>
      </c>
      <c r="V1" s="19" t="inlineStr">
        <is>
          <t>Actual_Entry</t>
        </is>
      </c>
      <c r="W1" s="19" t="inlineStr">
        <is>
          <t>Actual_Exit</t>
        </is>
      </c>
      <c r="X1" s="19" t="inlineStr">
        <is>
          <t>Actual_PnL_%</t>
        </is>
      </c>
      <c r="Y1" s="19" t="inlineStr">
        <is>
          <t>Note</t>
        </is>
      </c>
    </row>
    <row r="2">
      <c r="A2" s="20" t="inlineStr">
        <is>
          <t>H001</t>
        </is>
      </c>
      <c r="B2" s="20" t="inlineStr">
        <is>
          <t>2026-04-15</t>
        </is>
      </c>
      <c r="C2" s="20" t="inlineStr">
        <is>
          <t>trade-rec-2026-04-15 v3</t>
        </is>
      </c>
      <c r="D2" s="20" t="inlineStr">
        <is>
          <t>EWY</t>
        </is>
      </c>
      <c r="E2" s="20" t="inlineStr">
        <is>
          <t>Long</t>
        </is>
      </c>
      <c r="F2" s="20" t="n">
        <v>1</v>
      </c>
      <c r="G2" s="20" t="n">
        <v>1</v>
      </c>
      <c r="H2" s="20" t="n">
        <v>1</v>
      </c>
      <c r="I2" s="20" t="n">
        <v>0</v>
      </c>
      <c r="J2" s="20" t="n">
        <v>3</v>
      </c>
      <c r="K2" s="21" t="n">
        <v>146</v>
      </c>
      <c r="L2" s="21" t="n">
        <v>133</v>
      </c>
      <c r="M2" s="21" t="n">
        <v>156</v>
      </c>
      <c r="N2" s="21" t="n">
        <v>166</v>
      </c>
      <c r="O2" s="20" t="inlineStr">
        <is>
          <t>2026-05-13</t>
        </is>
      </c>
      <c r="P2" s="22" t="n">
        <v>0.015</v>
      </c>
      <c r="Q2" s="23" t="inlineStr">
        <is>
          <t>OPEN</t>
        </is>
      </c>
      <c r="R2" s="21" t="n">
        <v>146</v>
      </c>
      <c r="S2" s="21" t="n">
        <v>150.09</v>
      </c>
      <c r="T2" s="24">
        <f>(S2-R2)/R2</f>
        <v/>
      </c>
      <c r="U2" s="20" t="inlineStr">
        <is>
          <t>YES</t>
        </is>
      </c>
      <c r="V2" s="21" t="n">
        <v>144.1</v>
      </c>
      <c r="W2" s="21" t="n">
        <v>145.39</v>
      </c>
      <c r="X2" s="22" t="n">
        <v>0.0092</v>
      </c>
      <c r="Y2" s="25" t="inlineStr">
        <is>
          <t>Actual stop moved too tight (~breakeven). Methodology stop $133 never hit. Hypo at rec midpoint $146 still open. Current $152.33 (Apr-21). Hypo +4.34% vs actual +0.92%.</t>
        </is>
      </c>
    </row>
    <row r="3">
      <c r="A3" s="20" t="inlineStr">
        <is>
          <t>H002</t>
        </is>
      </c>
      <c r="B3" s="20" t="inlineStr">
        <is>
          <t>2026-04-15</t>
        </is>
      </c>
      <c r="C3" s="20" t="inlineStr">
        <is>
          <t>trade-rec-2026-04-15 v2-&gt;v3</t>
        </is>
      </c>
      <c r="D3" s="20" t="inlineStr">
        <is>
          <t>TSM</t>
        </is>
      </c>
      <c r="E3" s="20" t="inlineStr">
        <is>
          <t>Long</t>
        </is>
      </c>
      <c r="F3" s="20" t="n">
        <v>1</v>
      </c>
      <c r="G3" s="20" t="n">
        <v>1</v>
      </c>
      <c r="H3" s="20" t="n">
        <v>1</v>
      </c>
      <c r="I3" s="20" t="n">
        <v>0</v>
      </c>
      <c r="J3" s="20" t="n">
        <v>3</v>
      </c>
      <c r="K3" s="20" t="n"/>
      <c r="L3" s="20" t="n"/>
      <c r="M3" s="20" t="n"/>
      <c r="N3" s="20" t="n"/>
      <c r="O3" s="20" t="n"/>
      <c r="P3" s="22" t="n">
        <v>0.01</v>
      </c>
      <c r="Q3" s="26" t="inlineStr">
        <is>
          <t>VOIDED</t>
        </is>
      </c>
      <c r="R3" s="20" t="n"/>
      <c r="S3" s="20" t="n"/>
      <c r="T3" s="20" t="n"/>
      <c r="U3" s="20" t="inlineStr">
        <is>
          <t>NO</t>
        </is>
      </c>
      <c r="V3" s="20" t="n"/>
      <c r="W3" s="20" t="n"/>
      <c r="X3" s="20" t="n"/>
      <c r="Y3" s="25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>
      <c r="A4" s="20" t="inlineStr">
        <is>
          <t>H003</t>
        </is>
      </c>
      <c r="B4" s="20" t="inlineStr">
        <is>
          <t>2026-04-15</t>
        </is>
      </c>
      <c r="C4" s="20" t="inlineStr">
        <is>
          <t>trade-rec-2026-04-15 v3</t>
        </is>
      </c>
      <c r="D4" s="20" t="inlineStr">
        <is>
          <t>INTC</t>
        </is>
      </c>
      <c r="E4" s="20" t="inlineStr">
        <is>
          <t>Long</t>
        </is>
      </c>
      <c r="F4" s="20" t="n">
        <v>1</v>
      </c>
      <c r="G4" s="20" t="n">
        <v>1</v>
      </c>
      <c r="H4" s="20" t="n">
        <v>1</v>
      </c>
      <c r="I4" s="20" t="n">
        <v>0</v>
      </c>
      <c r="J4" s="20" t="n">
        <v>3</v>
      </c>
      <c r="K4" s="21" t="n">
        <v>62</v>
      </c>
      <c r="L4" s="21" t="n">
        <v>56</v>
      </c>
      <c r="M4" s="21" t="n">
        <v>70</v>
      </c>
      <c r="N4" s="21" t="n">
        <v>77</v>
      </c>
      <c r="O4" s="20" t="inlineStr">
        <is>
          <t>2026-05-13</t>
        </is>
      </c>
      <c r="P4" s="22" t="n">
        <v>0.01</v>
      </c>
      <c r="Q4" s="23" t="inlineStr">
        <is>
          <t>OPEN</t>
        </is>
      </c>
      <c r="R4" s="21" t="n">
        <v>62</v>
      </c>
      <c r="S4" s="21" t="n">
        <v>67</v>
      </c>
      <c r="T4" s="24">
        <f>(S4-R4)/R4</f>
        <v/>
      </c>
      <c r="U4" s="20" t="inlineStr">
        <is>
          <t>YES</t>
        </is>
      </c>
      <c r="V4" s="21" t="n">
        <v>64.68000000000001</v>
      </c>
      <c r="W4" s="21" t="n">
        <v>68.26000000000001</v>
      </c>
      <c r="X4" s="22" t="n">
        <v>0.0209</v>
      </c>
      <c r="Y4" s="25" t="inlineStr">
        <is>
          <t>Actual exited early Apr-19 at $68.26 before Apr-23 earnings. Hypo at rec midpoint $62 still open (stop $56, inv May-13). Current ~$68 -&gt; hypo +9.68% vs actual +2.09%.</t>
        </is>
      </c>
    </row>
    <row r="5">
      <c r="A5" s="20" t="inlineStr">
        <is>
          <t>H004</t>
        </is>
      </c>
      <c r="B5" s="20" t="inlineStr">
        <is>
          <t>2026-04-16</t>
        </is>
      </c>
      <c r="C5" s="20" t="inlineStr">
        <is>
          <t>trade-rec-2026-04-16 v3</t>
        </is>
      </c>
      <c r="D5" s="20" t="inlineStr">
        <is>
          <t>Gold</t>
        </is>
      </c>
      <c r="E5" s="20" t="inlineStr">
        <is>
          <t>Long</t>
        </is>
      </c>
      <c r="F5" s="20" t="n">
        <v>1</v>
      </c>
      <c r="G5" s="20" t="n">
        <v>1</v>
      </c>
      <c r="H5" s="20" t="n">
        <v>1</v>
      </c>
      <c r="I5" s="20" t="n">
        <v>0</v>
      </c>
      <c r="J5" s="20" t="n">
        <v>3</v>
      </c>
      <c r="K5" s="21" t="n">
        <v>4830</v>
      </c>
      <c r="L5" s="21" t="n">
        <v>4640</v>
      </c>
      <c r="M5" s="21" t="n">
        <v>4990</v>
      </c>
      <c r="N5" s="21" t="n">
        <v>5140</v>
      </c>
      <c r="O5" s="20" t="inlineStr">
        <is>
          <t>2026-05-14</t>
        </is>
      </c>
      <c r="P5" s="22" t="n">
        <v>0.0075</v>
      </c>
      <c r="Q5" s="23" t="inlineStr">
        <is>
          <t>OPEN</t>
        </is>
      </c>
      <c r="R5" s="21" t="n">
        <v>4830</v>
      </c>
      <c r="S5" s="21" t="n">
        <v>4785.16</v>
      </c>
      <c r="T5" s="24">
        <f>(S5-R5)/R5</f>
        <v/>
      </c>
      <c r="U5" s="20" t="inlineStr">
        <is>
          <t>YES</t>
        </is>
      </c>
      <c r="V5" s="21" t="n">
        <v>4780.69</v>
      </c>
      <c r="W5" s="21" t="n">
        <v>4823.65</v>
      </c>
      <c r="X5" s="22" t="n">
        <v>0.008</v>
      </c>
      <c r="Y5" s="25" t="inlineStr">
        <is>
          <t>Actual exited early Apr-18 before Iran ceasefire binary (Apr-22). Hypo at zone midpoint $4,830. Current $4,808 (-0.46%). Stop $4,640 not hit; inv May-14. Actual +0.80%.</t>
        </is>
      </c>
    </row>
    <row r="6">
      <c r="A6" s="20" t="inlineStr">
        <is>
          <t>H005</t>
        </is>
      </c>
      <c r="B6" s="20" t="inlineStr">
        <is>
          <t>2026-04-16</t>
        </is>
      </c>
      <c r="C6" s="20" t="inlineStr">
        <is>
          <t>trade-rec-2026-04-16 v3</t>
        </is>
      </c>
      <c r="D6" s="20" t="inlineStr">
        <is>
          <t>QQQ</t>
        </is>
      </c>
      <c r="E6" s="20" t="inlineStr">
        <is>
          <t>Long</t>
        </is>
      </c>
      <c r="F6" s="20" t="n">
        <v>1</v>
      </c>
      <c r="G6" s="20" t="n">
        <v>1</v>
      </c>
      <c r="H6" s="20" t="n">
        <v>1</v>
      </c>
      <c r="I6" s="20" t="n">
        <v>1</v>
      </c>
      <c r="J6" s="20" t="n">
        <v>4</v>
      </c>
      <c r="K6" s="21" t="n">
        <v>637.4</v>
      </c>
      <c r="L6" s="21" t="n">
        <v>597</v>
      </c>
      <c r="M6" s="20" t="n"/>
      <c r="N6" s="20" t="n"/>
      <c r="O6" s="20" t="inlineStr">
        <is>
          <t>2026-05-14</t>
        </is>
      </c>
      <c r="P6" s="22" t="n">
        <v>0.005</v>
      </c>
      <c r="Q6" s="27" t="inlineStr">
        <is>
          <t>FLAGGED</t>
        </is>
      </c>
      <c r="R6" s="21" t="n">
        <v>637.4</v>
      </c>
      <c r="S6" s="21" t="n">
        <v>646.79</v>
      </c>
      <c r="T6" s="24">
        <f>(S6-R6)/R6</f>
        <v/>
      </c>
      <c r="U6" s="20" t="inlineStr">
        <is>
          <t>YES</t>
        </is>
      </c>
      <c r="V6" s="21" t="n">
        <v>640.09</v>
      </c>
      <c r="W6" s="21" t="n">
        <v>643.02</v>
      </c>
      <c r="X6" s="22" t="n">
        <v>0.0113</v>
      </c>
      <c r="Y6" s="25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>
      <c r="A7" s="20" t="inlineStr">
        <is>
          <t>H006</t>
        </is>
      </c>
      <c r="B7" s="20" t="inlineStr">
        <is>
          <t>2026-04-20</t>
        </is>
      </c>
      <c r="C7" s="20" t="inlineStr">
        <is>
          <t>trade-rec-2026-04-20 v3</t>
        </is>
      </c>
      <c r="D7" s="20" t="inlineStr">
        <is>
          <t>SPY</t>
        </is>
      </c>
      <c r="E7" s="20" t="inlineStr">
        <is>
          <t>Long</t>
        </is>
      </c>
      <c r="F7" s="20" t="n">
        <v>1</v>
      </c>
      <c r="G7" s="20" t="n">
        <v>1</v>
      </c>
      <c r="H7" s="20" t="n">
        <v>0</v>
      </c>
      <c r="I7" s="20" t="n">
        <v>1</v>
      </c>
      <c r="J7" s="20" t="n">
        <v>3</v>
      </c>
      <c r="K7" s="21" t="n">
        <v>710.14</v>
      </c>
      <c r="L7" s="21" t="n">
        <v>696</v>
      </c>
      <c r="M7" s="21" t="n">
        <v>720</v>
      </c>
      <c r="N7" s="21" t="n">
        <v>730</v>
      </c>
      <c r="O7" s="20" t="inlineStr">
        <is>
          <t>2026-05-13</t>
        </is>
      </c>
      <c r="P7" s="22" t="n">
        <v>0.01</v>
      </c>
      <c r="Q7" s="23" t="inlineStr">
        <is>
          <t>OPEN</t>
        </is>
      </c>
      <c r="R7" s="21" t="n">
        <v>710.14</v>
      </c>
      <c r="S7" s="21" t="n">
        <v>706.14</v>
      </c>
      <c r="T7" s="24">
        <f>(S7-R7)/R7</f>
        <v/>
      </c>
      <c r="U7" s="20" t="inlineStr">
        <is>
          <t>YES</t>
        </is>
      </c>
      <c r="V7" s="21" t="n">
        <v>710.17</v>
      </c>
      <c r="W7" s="20" t="n"/>
      <c r="X7" s="20" t="n"/>
      <c r="Y7" s="25" t="inlineStr">
        <is>
          <t>Actual filled avg $710.17 (4 tranches Apr-21). Open. Current ~$706 (Apr-22 09:23) -&gt; hypo -0.58%. Stop $696 not hit. Half-size: C=0 + IC z MISSING at rec time + FOMC Apr-28 tail.</t>
        </is>
      </c>
    </row>
    <row r="8">
      <c r="A8" s="20" t="inlineStr">
        <is>
          <t>H007</t>
        </is>
      </c>
      <c r="B8" s="20" t="inlineStr">
        <is>
          <t>2026-04-21</t>
        </is>
      </c>
      <c r="C8" s="20" t="inlineStr">
        <is>
          <t>trade-rec-2026-04-21 v2</t>
        </is>
      </c>
      <c r="D8" s="20" t="inlineStr">
        <is>
          <t>EWJ</t>
        </is>
      </c>
      <c r="E8" s="20" t="inlineStr">
        <is>
          <t>Long</t>
        </is>
      </c>
      <c r="F8" s="20" t="n">
        <v>1</v>
      </c>
      <c r="G8" s="20" t="n">
        <v>1</v>
      </c>
      <c r="H8" s="20" t="n">
        <v>0</v>
      </c>
      <c r="I8" s="20" t="n">
        <v>1</v>
      </c>
      <c r="J8" s="20" t="n">
        <v>3</v>
      </c>
      <c r="K8" s="21" t="n">
        <v>90.23999999999999</v>
      </c>
      <c r="L8" s="21" t="n">
        <v>86</v>
      </c>
      <c r="M8" s="21" t="n">
        <v>95</v>
      </c>
      <c r="N8" s="21" t="n">
        <v>98</v>
      </c>
      <c r="O8" s="20" t="inlineStr">
        <is>
          <t>2026-06-30</t>
        </is>
      </c>
      <c r="P8" s="22" t="n">
        <v>0.0075</v>
      </c>
      <c r="Q8" s="23" t="inlineStr">
        <is>
          <t>OPEN</t>
        </is>
      </c>
      <c r="R8" s="21" t="n">
        <v>90.23999999999999</v>
      </c>
      <c r="S8" s="21" t="n">
        <v>89.18000000000001</v>
      </c>
      <c r="T8" s="24">
        <f>(S8-R8)/R8</f>
        <v/>
      </c>
      <c r="U8" s="20" t="inlineStr">
        <is>
          <t>YES</t>
        </is>
      </c>
      <c r="V8" s="21" t="n">
        <v>88.44</v>
      </c>
      <c r="W8" s="20" t="n"/>
      <c r="X8" s="20" t="n"/>
      <c r="Y8" s="25" t="inlineStr">
        <is>
          <t>Actual filled avg $88.44 (~2.2% below rec estimate $90.24). Open. Current ~$89.18 (Apr-22) -&gt; hypo -1.17% / actual +0.84%. Stop $86 not hit; inv Jun-30.</t>
        </is>
      </c>
    </row>
    <row r="9">
      <c r="A9" s="20" t="inlineStr">
        <is>
          <t>H008</t>
        </is>
      </c>
      <c r="B9" s="20" t="inlineStr">
        <is>
          <t>2026-04-21</t>
        </is>
      </c>
      <c r="C9" s="20" t="inlineStr">
        <is>
          <t>trade-rec-2026-04-21 v2</t>
        </is>
      </c>
      <c r="D9" s="20" t="inlineStr">
        <is>
          <t>INTC</t>
        </is>
      </c>
      <c r="E9" s="20" t="inlineStr">
        <is>
          <t>Long</t>
        </is>
      </c>
      <c r="F9" s="20" t="n">
        <v>1</v>
      </c>
      <c r="G9" s="20" t="n">
        <v>1</v>
      </c>
      <c r="H9" s="20" t="n">
        <v>1</v>
      </c>
      <c r="I9" s="20" t="n">
        <v>1</v>
      </c>
      <c r="J9" s="20" t="n">
        <v>4</v>
      </c>
      <c r="K9" s="21" t="n">
        <v>69</v>
      </c>
      <c r="L9" s="21" t="n">
        <v>64</v>
      </c>
      <c r="M9" s="21" t="n">
        <v>75</v>
      </c>
      <c r="N9" s="21" t="n">
        <v>82</v>
      </c>
      <c r="O9" s="20" t="inlineStr">
        <is>
          <t>2026-06-23</t>
        </is>
      </c>
      <c r="P9" s="22" t="n">
        <v>0.01</v>
      </c>
      <c r="Q9" s="28" t="inlineStr">
        <is>
          <t>PENDING</t>
        </is>
      </c>
      <c r="R9" s="20" t="n"/>
      <c r="S9" s="20" t="n"/>
      <c r="T9" s="20" t="n"/>
      <c r="U9" s="20" t="inlineStr">
        <is>
          <t>PENDING</t>
        </is>
      </c>
      <c r="V9" s="20" t="n"/>
      <c r="W9" s="20" t="n"/>
      <c r="X9" s="20" t="n"/>
      <c r="Y9" s="25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>
      <c r="A10" s="20" t="inlineStr">
        <is>
          <t>H009</t>
        </is>
      </c>
      <c r="B10" s="20" t="inlineStr">
        <is>
          <t>2026-04-21</t>
        </is>
      </c>
      <c r="C10" s="20" t="inlineStr">
        <is>
          <t>trade-rec-2026-04-21 v2</t>
        </is>
      </c>
      <c r="D10" s="20" t="inlineStr">
        <is>
          <t>AAPL</t>
        </is>
      </c>
      <c r="E10" s="20" t="inlineStr">
        <is>
          <t>Long</t>
        </is>
      </c>
      <c r="F10" s="20" t="n">
        <v>1</v>
      </c>
      <c r="G10" s="20" t="n">
        <v>1</v>
      </c>
      <c r="H10" s="20" t="n">
        <v>0</v>
      </c>
      <c r="I10" s="20" t="n">
        <v>1</v>
      </c>
      <c r="J10" s="20" t="n">
        <v>3</v>
      </c>
      <c r="K10" s="21" t="n">
        <v>272.5</v>
      </c>
      <c r="L10" s="21" t="n">
        <v>265.75</v>
      </c>
      <c r="M10" s="21" t="n">
        <v>280</v>
      </c>
      <c r="N10" s="21" t="n">
        <v>290</v>
      </c>
      <c r="O10" s="20" t="inlineStr">
        <is>
          <t>2026-04-30</t>
        </is>
      </c>
      <c r="P10" s="22" t="n">
        <v>0.0075</v>
      </c>
      <c r="Q10" s="28" t="inlineStr">
        <is>
          <t>PENDING</t>
        </is>
      </c>
      <c r="R10" s="20" t="n"/>
      <c r="S10" s="20" t="n"/>
      <c r="T10" s="20" t="n"/>
      <c r="U10" s="20" t="inlineStr">
        <is>
          <t>PENDING</t>
        </is>
      </c>
      <c r="V10" s="20" t="n"/>
      <c r="W10" s="20" t="n"/>
      <c r="X10" s="20" t="n"/>
      <c r="Y10" s="25" t="inlineStr">
        <is>
          <t>P014. Limit ~$271-274. Stop ~$264-267 (2x ATR). HARD time-stop 2026-04-30 -- MUST exit before May-1 earnings. C=0; edge is structural momentum only. In zone at $273 (Apr-22).</t>
        </is>
      </c>
    </row>
    <row r="11">
      <c r="A11" s="20" t="inlineStr">
        <is>
          <t>H010</t>
        </is>
      </c>
      <c r="B11" s="20" t="inlineStr">
        <is>
          <t>2026-04-21</t>
        </is>
      </c>
      <c r="C11" s="20" t="inlineStr">
        <is>
          <t>trade-rec-2026-04-21 v2</t>
        </is>
      </c>
      <c r="D11" s="20" t="inlineStr">
        <is>
          <t>GOOGL</t>
        </is>
      </c>
      <c r="E11" s="20" t="inlineStr">
        <is>
          <t>Long</t>
        </is>
      </c>
      <c r="F11" s="20" t="n">
        <v>1</v>
      </c>
      <c r="G11" s="20" t="n">
        <v>0</v>
      </c>
      <c r="H11" s="20" t="n">
        <v>1</v>
      </c>
      <c r="I11" s="20" t="n">
        <v>1</v>
      </c>
      <c r="J11" s="20" t="n">
        <v>3</v>
      </c>
      <c r="K11" s="21" t="n">
        <v>335.5</v>
      </c>
      <c r="L11" s="21" t="n">
        <v>317</v>
      </c>
      <c r="M11" s="21" t="n">
        <v>355</v>
      </c>
      <c r="N11" s="21" t="n">
        <v>375</v>
      </c>
      <c r="O11" s="20" t="inlineStr">
        <is>
          <t>2026-05-15</t>
        </is>
      </c>
      <c r="P11" s="22" t="n">
        <v>0.0075</v>
      </c>
      <c r="Q11" s="28" t="inlineStr">
        <is>
          <t>PENDING</t>
        </is>
      </c>
      <c r="R11" s="20" t="n"/>
      <c r="S11" s="20" t="n"/>
      <c r="T11" s="20" t="n"/>
      <c r="U11" s="20" t="inlineStr">
        <is>
          <t>PENDING</t>
        </is>
      </c>
      <c r="V11" s="20" t="n"/>
      <c r="W11" s="20" t="n"/>
      <c r="X11" s="20" t="n"/>
      <c r="Y11" s="25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4" t="inlineStr">
        <is>
          <t>H011</t>
        </is>
      </c>
      <c r="B12" s="35" t="n">
        <v>46128</v>
      </c>
      <c r="C12" s="34" t="inlineStr">
        <is>
          <t>trade-rec-2026-04-16 v3</t>
        </is>
      </c>
      <c r="D12" s="34" t="inlineStr">
        <is>
          <t>GOOGL</t>
        </is>
      </c>
      <c r="E12" s="34" t="inlineStr">
        <is>
          <t>Long</t>
        </is>
      </c>
      <c r="F12" s="34" t="n">
        <v>1</v>
      </c>
      <c r="G12" s="34" t="n">
        <v>1</v>
      </c>
      <c r="H12" s="34" t="n">
        <v>1</v>
      </c>
      <c r="I12" s="34" t="n">
        <v>0</v>
      </c>
      <c r="J12" s="34" t="n">
        <v>3</v>
      </c>
      <c r="K12" s="34" t="n">
        <v>337.12</v>
      </c>
      <c r="L12" s="34" t="n">
        <v>297</v>
      </c>
      <c r="M12" s="34" t="n">
        <v>360</v>
      </c>
      <c r="N12" s="34" t="n">
        <v>380</v>
      </c>
      <c r="O12" s="34" t="inlineStr">
        <is>
          <t>2026-05-14</t>
        </is>
      </c>
      <c r="P12" s="34" t="n">
        <v>0.005</v>
      </c>
      <c r="Q12" s="34" t="inlineStr">
        <is>
          <t>FLAGGED</t>
        </is>
      </c>
      <c r="R12" s="34" t="n">
        <v>337.12</v>
      </c>
      <c r="S12" s="34" t="n">
        <v>337.42</v>
      </c>
      <c r="T12" s="34">
        <f>(S12-R12)/R12</f>
        <v/>
      </c>
      <c r="U12" s="34" t="inlineStr">
        <is>
          <t>NO</t>
        </is>
      </c>
      <c r="V12" s="34" t="n"/>
      <c r="W12" s="34" t="n"/>
      <c r="X12" s="34" t="n"/>
      <c r="Y12" s="34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4" t="inlineStr">
        <is>
          <t>H012</t>
        </is>
      </c>
      <c r="B13" s="35" t="n">
        <v>46128</v>
      </c>
      <c r="C13" s="34" t="inlineStr">
        <is>
          <t>trade-rec-2026-04-16 v3</t>
        </is>
      </c>
      <c r="D13" s="34" t="inlineStr">
        <is>
          <t>SPY</t>
        </is>
      </c>
      <c r="E13" s="34" t="inlineStr">
        <is>
          <t>Long</t>
        </is>
      </c>
      <c r="F13" s="34" t="n">
        <v>1</v>
      </c>
      <c r="G13" s="34" t="n">
        <v>1</v>
      </c>
      <c r="H13" s="34" t="n">
        <v>0</v>
      </c>
      <c r="I13" s="34" t="n">
        <v>1</v>
      </c>
      <c r="J13" s="34" t="n">
        <v>3</v>
      </c>
      <c r="K13" s="34" t="n">
        <v>699.9400000000001</v>
      </c>
      <c r="L13" s="34" t="n">
        <v>685</v>
      </c>
      <c r="M13" s="34" t="n">
        <v>720</v>
      </c>
      <c r="N13" s="34" t="n">
        <v>740</v>
      </c>
      <c r="O13" s="34" t="inlineStr">
        <is>
          <t>2026-05-14</t>
        </is>
      </c>
      <c r="P13" s="34" t="n">
        <v>0.005</v>
      </c>
      <c r="Q13" s="34" t="inlineStr">
        <is>
          <t>FLAGGED</t>
        </is>
      </c>
      <c r="R13" s="34" t="n">
        <v>699.9400000000001</v>
      </c>
      <c r="S13" s="34" t="n">
        <v>706.14</v>
      </c>
      <c r="T13" s="34">
        <f>(S13-R13)/R13</f>
        <v/>
      </c>
      <c r="U13" s="34" t="inlineStr">
        <is>
          <t>NO</t>
        </is>
      </c>
      <c r="V13" s="34" t="n"/>
      <c r="W13" s="34" t="n"/>
      <c r="X13" s="34" t="n"/>
      <c r="Y13" s="34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s="29" t="inlineStr">
        <is>
          <t>PERFORMANCE SUMMARY (auto-updated by signal-review)</t>
        </is>
      </c>
    </row>
    <row r="15">
      <c r="A15" s="30" t="inlineStr">
        <is>
          <t>Formally Promoted (OPEN+PENDING+FLAGGED)</t>
        </is>
      </c>
      <c r="B15" s="31">
        <f>COUNTIF(Q2:Q13,"OPEN")+COUNTIF(Q2:Q13,"PENDING")+COUNTIF(Q2:Q13,"FLAGGED")</f>
        <v/>
      </c>
    </row>
    <row r="16">
      <c r="A16" s="30" t="inlineStr">
        <is>
          <t>OPEN (marked-to-market)</t>
        </is>
      </c>
      <c r="B16" s="31">
        <f>COUNTIF(Q2:Q13,"OPEN")</f>
        <v/>
      </c>
    </row>
    <row r="17">
      <c r="A17" s="30" t="inlineStr">
        <is>
          <t>PENDING (entry trigger)</t>
        </is>
      </c>
      <c r="B17" s="31">
        <f>COUNTIF(Q2:Q13,"PENDING")</f>
        <v/>
      </c>
    </row>
    <row r="18">
      <c r="A18" s="30" t="inlineStr">
        <is>
          <t>VOIDED (de-promoted same session)</t>
        </is>
      </c>
      <c r="B18" s="31">
        <f>COUNTIF(Q2:Q13,"VOIDED")</f>
        <v/>
      </c>
    </row>
    <row r="19">
      <c r="A19" s="30" t="inlineStr">
        <is>
          <t>FLAGGED (Sum&gt;=3, not formally promoted)</t>
        </is>
      </c>
      <c r="B19" s="31">
        <f>COUNTIF(Q2:Q13,"FLAGGED")</f>
        <v/>
      </c>
    </row>
    <row r="20">
      <c r="A20" s="30" t="inlineStr">
        <is>
          <t>Hypo Avg PnL% -- OPEN signals</t>
        </is>
      </c>
      <c r="B20" s="32">
        <f>AVERAGEIF(Q2:Q13,"OPEN",T2:T13)</f>
        <v/>
      </c>
    </row>
    <row r="21">
      <c r="A21" s="30" t="inlineStr">
        <is>
          <t>Actual Avg PnL% -- closed YES</t>
        </is>
      </c>
      <c r="B21" s="32">
        <f>AVERAGEIFS(X2:X13,U2:U13,"YES",W2:W13,"&lt;&gt;"&amp;"")</f>
        <v/>
      </c>
    </row>
    <row r="22">
      <c r="A22" s="30" t="inlineStr">
        <is>
          <t>Last updated</t>
        </is>
      </c>
      <c r="B22" s="31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2026-04-22T06:24:03Z</dcterms:modified>
  <cp:lastModifiedBy>Gerald Yiu</cp:lastModifiedBy>
  <cp:revision>0</cp:revision>
</cp:coreProperties>
</file>