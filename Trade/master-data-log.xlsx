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500" firstSheet="0" activeTab="4" autoFilterDateGrouping="1"/>
  </bookViews>
  <sheets>
    <sheet name="DailyVariables" sheetId="1" state="visible" r:id="rId1"/>
    <sheet name="SignalLedger" sheetId="2" state="visible" r:id="rId2"/>
    <sheet name="RegimeHistory" sheetId="3" state="visible" r:id="rId3"/>
    <sheet name="VariableRegistry" sheetId="4" state="visible" r:id="rId4"/>
    <sheet name="CatalystLog" sheetId="5" state="visible" r:id="rId5"/>
    <sheet name="DataQuality" sheetId="6" state="visible" r:id="rId6"/>
    <sheet name="AuditAdditionLog" sheetId="7" state="visible" r:id="rId7"/>
    <sheet name="PerformanceStats" sheetId="8" state="visible" r:id="rId8"/>
    <sheet name="README" sheetId="9" state="visible" r:id="rId9"/>
    <sheet name="MethodologyNotes" sheetId="10" state="visible" r:id="rId10"/>
    <sheet name="HypoLedger" sheetId="11" state="visible" r:id="rId11"/>
  </sheets>
  <definedNames>
    <definedName name="_xlnm._FilterDatabase" localSheetId="0" hidden="1">'DailyVariables'!$A$1:$BY$1</definedName>
    <definedName name="_xlnm._FilterDatabase" localSheetId="1" hidden="1">'SignalLedger'!$A$1:$AF$1</definedName>
    <definedName name="_xlnm._FilterDatabase" localSheetId="2" hidden="1">'RegimeHistory'!$A$1:$P$1</definedName>
    <definedName name="_xlnm._FilterDatabase" localSheetId="3" hidden="1">'VariableRegistry'!$A$1:$AJ$1</definedName>
    <definedName name="_xlnm._FilterDatabase" localSheetId="4" hidden="1">'CatalystLog'!$A$1:$L$1</definedName>
    <definedName name="_xlnm._FilterDatabase" localSheetId="5" hidden="1">'DataQuality'!$A$1:$M$1</definedName>
    <definedName name="_xlnm._FilterDatabase" localSheetId="6" hidden="1">'AuditAdditionLog'!$A$1:$I$1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yyyy\-mm\-dd\ h:mm:ss"/>
    <numFmt numFmtId="166" formatCode="yyyy-mm-dd"/>
    <numFmt numFmtId="167" formatCode="yyyy-mm-dd h:mm:ss"/>
    <numFmt numFmtId="168" formatCode="0.00%;(0.00%);&quot;-&quot;"/>
  </numFmts>
  <fonts count="16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1F4E79"/>
      <sz val="14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color rgb="FF008000"/>
      <sz val="10"/>
    </font>
    <font>
      <name val="Arial"/>
      <charset val="1"/>
      <color rgb="FF808080"/>
      <sz val="9"/>
    </font>
    <font>
      <name val="Arial"/>
      <charset val="1"/>
      <b val="1"/>
      <color rgb="FF375623"/>
      <sz val="10"/>
    </font>
    <font>
      <name val="Arial"/>
      <charset val="1"/>
      <b val="1"/>
      <color rgb="FF375623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008000"/>
      <sz val="10"/>
    </font>
    <font>
      <name val="Arial"/>
      <b val="1"/>
      <sz val="11"/>
    </font>
    <font>
      <name val="Arial"/>
      <b val="1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D6D6D6"/>
        <bgColor rgb="00D6D6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2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0" fillId="5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4" fontId="11" fillId="0" borderId="2" applyAlignment="1" pivotButton="0" quotePrefix="0" xfId="0">
      <alignment horizontal="center" vertical="center"/>
    </xf>
    <xf numFmtId="168" fontId="11" fillId="0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168" fontId="12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2" fillId="0" borderId="0" applyAlignment="1" pivotButton="0" quotePrefix="0" xfId="0">
      <alignment horizontal="center" vertical="center"/>
    </xf>
    <xf numFmtId="168" fontId="12" fillId="0" borderId="0" applyAlignment="1" pivotButton="0" quotePrefix="0" xfId="0">
      <alignment horizontal="center" vertical="center"/>
    </xf>
    <xf numFmtId="0" fontId="1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6640625" defaultRowHeight="14.25"/>
  <cols>
    <col width="12" customWidth="1" style="15" min="1" max="1"/>
    <col width="14" customWidth="1" style="15" min="2" max="77"/>
  </cols>
  <sheetData>
    <row r="1" ht="35.1" customHeight="1" s="15">
      <c r="A1" s="1" t="inlineStr">
        <is>
          <t>Date</t>
        </is>
      </c>
      <c r="B1" s="1" t="inlineStr">
        <is>
          <t>VIX</t>
        </is>
      </c>
      <c r="C1" s="1" t="inlineStr">
        <is>
          <t>VIX3M</t>
        </is>
      </c>
      <c r="D1" s="1" t="inlineStr">
        <is>
          <t>VIX/VIX3M</t>
        </is>
      </c>
      <c r="E1" s="1" t="inlineStr">
        <is>
          <t>MOVE</t>
        </is>
      </c>
      <c r="F1" s="1" t="inlineStr">
        <is>
          <t>DXY</t>
        </is>
      </c>
      <c r="G1" s="1" t="inlineStr">
        <is>
          <t>HY_OAS</t>
        </is>
      </c>
      <c r="H1" s="1" t="inlineStr">
        <is>
          <t>NFCI</t>
        </is>
      </c>
      <c r="I1" s="1" t="inlineStr">
        <is>
          <t>Intermediary_Cap_Ratio</t>
        </is>
      </c>
      <c r="J1" s="1" t="inlineStr">
        <is>
          <t>Intermediary_Cap_Z</t>
        </is>
      </c>
      <c r="K1" s="1" t="inlineStr">
        <is>
          <t>DGS2</t>
        </is>
      </c>
      <c r="L1" s="1" t="inlineStr">
        <is>
          <t>DGS10</t>
        </is>
      </c>
      <c r="M1" s="1" t="inlineStr">
        <is>
          <t>2s10s</t>
        </is>
      </c>
      <c r="N1" s="1" t="inlineStr">
        <is>
          <t>DFII10</t>
        </is>
      </c>
      <c r="O1" s="1" t="inlineStr">
        <is>
          <t>T10YIE</t>
        </is>
      </c>
      <c r="P1" s="1" t="inlineStr">
        <is>
          <t>ACM_TP_10Y</t>
        </is>
      </c>
      <c r="Q1" s="1" t="inlineStr">
        <is>
          <t>SPX</t>
        </is>
      </c>
      <c r="R1" s="1" t="inlineStr">
        <is>
          <t>NDX</t>
        </is>
      </c>
      <c r="S1" s="1" t="inlineStr">
        <is>
          <t>SPY</t>
        </is>
      </c>
      <c r="T1" s="1" t="inlineStr">
        <is>
          <t>QQQ</t>
        </is>
      </c>
      <c r="U1" s="1" t="inlineStr">
        <is>
          <t>EWJ</t>
        </is>
      </c>
      <c r="V1" s="1" t="inlineStr">
        <is>
          <t>EWY</t>
        </is>
      </c>
      <c r="W1" s="1" t="inlineStr">
        <is>
          <t>NVDA</t>
        </is>
      </c>
      <c r="X1" s="1" t="inlineStr">
        <is>
          <t>TSLA</t>
        </is>
      </c>
      <c r="Y1" s="1" t="inlineStr">
        <is>
          <t>TSM</t>
        </is>
      </c>
      <c r="Z1" s="1" t="inlineStr">
        <is>
          <t>AAPL</t>
        </is>
      </c>
      <c r="AA1" s="1" t="inlineStr">
        <is>
          <t>GOOGL</t>
        </is>
      </c>
      <c r="AB1" s="1" t="inlineStr">
        <is>
          <t>AMZN</t>
        </is>
      </c>
      <c r="AC1" s="1" t="inlineStr">
        <is>
          <t>META</t>
        </is>
      </c>
      <c r="AD1" s="1" t="inlineStr">
        <is>
          <t>INTC</t>
        </is>
      </c>
      <c r="AE1" s="1" t="inlineStr">
        <is>
          <t>MU</t>
        </is>
      </c>
      <c r="AF1" s="1" t="inlineStr">
        <is>
          <t>PYPL</t>
        </is>
      </c>
      <c r="AG1" s="1" t="inlineStr">
        <is>
          <t>PLTR</t>
        </is>
      </c>
      <c r="AH1" s="1" t="inlineStr">
        <is>
          <t>WDC</t>
        </is>
      </c>
      <c r="AI1" s="1" t="inlineStr">
        <is>
          <t>ResidMom_NVDA</t>
        </is>
      </c>
      <c r="AJ1" s="1" t="inlineStr">
        <is>
          <t>ResidMom_TSLA</t>
        </is>
      </c>
      <c r="AK1" s="1" t="inlineStr">
        <is>
          <t>ResidMom_TSM</t>
        </is>
      </c>
      <c r="AL1" s="1" t="inlineStr">
        <is>
          <t>ResidMom_AAPL</t>
        </is>
      </c>
      <c r="AM1" s="1" t="inlineStr">
        <is>
          <t>ResidMom_GOOGL</t>
        </is>
      </c>
      <c r="AN1" s="1" t="inlineStr">
        <is>
          <t>ResidMom_AMZN</t>
        </is>
      </c>
      <c r="AO1" s="1" t="inlineStr">
        <is>
          <t>ResidMom_META</t>
        </is>
      </c>
      <c r="AP1" s="1" t="inlineStr">
        <is>
          <t>ResidMom_INTC</t>
        </is>
      </c>
      <c r="AQ1" s="1" t="inlineStr">
        <is>
          <t>ResidMom_MU</t>
        </is>
      </c>
      <c r="AR1" s="1" t="inlineStr">
        <is>
          <t>ResidMom_PYPL</t>
        </is>
      </c>
      <c r="AS1" s="1" t="inlineStr">
        <is>
          <t>ResidMom_PLTR</t>
        </is>
      </c>
      <c r="AT1" s="1" t="inlineStr">
        <is>
          <t>ResidMom_WDC</t>
        </is>
      </c>
      <c r="AU1" s="1" t="inlineStr">
        <is>
          <t>Brent</t>
        </is>
      </c>
      <c r="AV1" s="1" t="inlineStr">
        <is>
          <t>WTI</t>
        </is>
      </c>
      <c r="AW1" s="1" t="inlineStr">
        <is>
          <t>Gold</t>
        </is>
      </c>
      <c r="AX1" s="1" t="inlineStr">
        <is>
          <t>Silver</t>
        </is>
      </c>
      <c r="AY1" s="1" t="inlineStr">
        <is>
          <t>Copper</t>
        </is>
      </c>
      <c r="AZ1" s="1" t="inlineStr">
        <is>
          <t>Platinum</t>
        </is>
      </c>
      <c r="BA1" s="1" t="inlineStr">
        <is>
          <t>Palladium</t>
        </is>
      </c>
      <c r="BB1" s="1" t="inlineStr">
        <is>
          <t>BasisMom_Brent_4w</t>
        </is>
      </c>
      <c r="BC1" s="1" t="inlineStr">
        <is>
          <t>BasisMom_Brent_12w</t>
        </is>
      </c>
      <c r="BD1" s="1" t="inlineStr">
        <is>
          <t>BasisMom_WTI_4w</t>
        </is>
      </c>
      <c r="BE1" s="1" t="inlineStr">
        <is>
          <t>BasisMom_WTI_12w</t>
        </is>
      </c>
      <c r="BF1" s="1" t="inlineStr">
        <is>
          <t>BasisMom_Gold_4w</t>
        </is>
      </c>
      <c r="BG1" s="1" t="inlineStr">
        <is>
          <t>BasisMom_Gold_12w</t>
        </is>
      </c>
      <c r="BH1" s="1" t="inlineStr">
        <is>
          <t>BasisMom_Silver_4w</t>
        </is>
      </c>
      <c r="BI1" s="1" t="inlineStr">
        <is>
          <t>BasisMom_Silver_12w</t>
        </is>
      </c>
      <c r="BJ1" s="1" t="inlineStr">
        <is>
          <t>BasisMom_Copper_4w</t>
        </is>
      </c>
      <c r="BK1" s="1" t="inlineStr">
        <is>
          <t>BasisMom_Copper_12w</t>
        </is>
      </c>
      <c r="BL1" s="1" t="inlineStr">
        <is>
          <t>EURUSD</t>
        </is>
      </c>
      <c r="BM1" s="1" t="inlineStr">
        <is>
          <t>USDJPY</t>
        </is>
      </c>
      <c r="BN1" s="1" t="inlineStr">
        <is>
          <t>BTC</t>
        </is>
      </c>
      <c r="BO1" s="1" t="inlineStr">
        <is>
          <t>ETH</t>
        </is>
      </c>
      <c r="BP1" s="1" t="inlineStr">
        <is>
          <t>BTC_HashRate</t>
        </is>
      </c>
      <c r="BQ1" s="1" t="inlineStr">
        <is>
          <t>BTC_ActiveAddr</t>
        </is>
      </c>
      <c r="BR1" s="1" t="inlineStr">
        <is>
          <t>BTC_ExchNetflow</t>
        </is>
      </c>
      <c r="BS1" s="1" t="inlineStr">
        <is>
          <t>BTC_ETF_Flow</t>
        </is>
      </c>
      <c r="BT1" s="1" t="inlineStr">
        <is>
          <t>BTC_PerpFunding</t>
        </is>
      </c>
      <c r="BU1" s="1" t="inlineStr">
        <is>
          <t>BTC_3mBasis</t>
        </is>
      </c>
      <c r="BV1" s="1" t="inlineStr">
        <is>
          <t>ETH_ETF_Flow</t>
        </is>
      </c>
      <c r="BW1" s="1" t="inlineStr">
        <is>
          <t>ETH_DailyTxns</t>
        </is>
      </c>
      <c r="BX1" s="1" t="inlineStr">
        <is>
          <t>GradeA_Missing_Count</t>
        </is>
      </c>
      <c r="BY1" s="1" t="inlineStr">
        <is>
          <t>Source_Brief</t>
        </is>
      </c>
    </row>
    <row r="2" ht="15" customHeight="1" s="15">
      <c r="A2" s="2" t="n">
        <v>46126</v>
      </c>
      <c r="B2" s="3" t="n">
        <v>29</v>
      </c>
      <c r="F2" s="3" t="n">
        <v>98.13</v>
      </c>
      <c r="K2" s="3" t="n">
        <v>3.77</v>
      </c>
      <c r="L2" s="3" t="n">
        <v>4.359</v>
      </c>
      <c r="N2" s="3" t="n">
        <v>1.9</v>
      </c>
      <c r="O2" s="3" t="n">
        <v>2.36</v>
      </c>
      <c r="R2" s="3" t="n">
        <v>6886</v>
      </c>
      <c r="V2" s="3" t="n">
        <v>141.23</v>
      </c>
      <c r="Y2" s="3" t="n">
        <v>370.6</v>
      </c>
      <c r="AB2" s="3" t="n">
        <v>238.38</v>
      </c>
      <c r="AC2" s="3" t="n">
        <v>634.53</v>
      </c>
      <c r="AU2" s="3" t="n">
        <v>94.79000000000001</v>
      </c>
      <c r="AV2" s="3" t="n">
        <v>91.28</v>
      </c>
      <c r="AW2" s="3" t="n">
        <v>4761.42</v>
      </c>
      <c r="AX2" s="3" t="n">
        <v>75.59999999999999</v>
      </c>
      <c r="AY2" s="3" t="n">
        <v>6.01</v>
      </c>
      <c r="BD2" s="3" t="n">
        <v>1.1769</v>
      </c>
      <c r="BF2" s="3" t="n">
        <v>75900</v>
      </c>
      <c r="BG2" s="3" t="n">
        <v>2329</v>
      </c>
      <c r="BL2" s="3" t="n">
        <v>1.1769</v>
      </c>
      <c r="BM2" s="3" t="n">
        <v>159.28</v>
      </c>
      <c r="BN2" s="3" t="n">
        <v>75900</v>
      </c>
      <c r="BQ2" s="3" t="n">
        <v>364000</v>
      </c>
      <c r="BR2" s="3" t="n">
        <v>-7900</v>
      </c>
      <c r="BV2" s="3" t="n">
        <v>4</v>
      </c>
      <c r="BX2" s="3" t="n">
        <v>4</v>
      </c>
      <c r="BY2" s="3" t="inlineStr">
        <is>
          <t>market-brief-2026-04-14.md</t>
        </is>
      </c>
    </row>
    <row r="3" ht="15" customHeight="1" s="15">
      <c r="A3" s="2" t="n">
        <v>46127</v>
      </c>
      <c r="B3" s="3" t="n">
        <v>18.36</v>
      </c>
      <c r="C3" s="3" t="n">
        <v>21.86</v>
      </c>
      <c r="E3" s="3" t="n">
        <v>74.34999999999999</v>
      </c>
      <c r="F3" s="3" t="n">
        <v>98.09</v>
      </c>
      <c r="G3" s="3" t="n">
        <v>2.94</v>
      </c>
      <c r="H3" s="3" t="n">
        <v>-0.43</v>
      </c>
      <c r="I3" s="3" t="n">
        <v>0.14</v>
      </c>
      <c r="J3" s="3" t="n">
        <v>1.86</v>
      </c>
      <c r="K3" s="3" t="n">
        <v>3.77</v>
      </c>
      <c r="L3" s="3" t="n">
        <v>4.29</v>
      </c>
      <c r="M3" s="3" t="n">
        <v>0.52</v>
      </c>
      <c r="N3" s="3" t="n">
        <v>1.9</v>
      </c>
      <c r="O3" s="3" t="n">
        <v>2.36</v>
      </c>
      <c r="Q3" s="3" t="n">
        <v>6967.38</v>
      </c>
      <c r="S3" s="3" t="n">
        <v>694.46</v>
      </c>
      <c r="T3" s="3" t="n">
        <v>628.6</v>
      </c>
      <c r="V3" s="3" t="n">
        <v>146.68</v>
      </c>
      <c r="W3" s="3" t="n">
        <v>195.88</v>
      </c>
      <c r="X3" s="3" t="n">
        <v>364</v>
      </c>
      <c r="Y3" s="3" t="n">
        <v>379.89</v>
      </c>
      <c r="Z3" s="3" t="n">
        <v>259</v>
      </c>
      <c r="AA3" s="3" t="n">
        <v>318</v>
      </c>
      <c r="AB3" s="3" t="n">
        <v>248</v>
      </c>
      <c r="AC3" s="3" t="n">
        <v>662</v>
      </c>
      <c r="AD3" s="3" t="n">
        <v>63</v>
      </c>
      <c r="AE3" s="3" t="n">
        <v>465.66</v>
      </c>
      <c r="AF3" s="3" t="n">
        <v>48</v>
      </c>
      <c r="AG3" s="3" t="n">
        <v>136</v>
      </c>
      <c r="AH3" s="3" t="n">
        <v>366</v>
      </c>
      <c r="AI3" s="3" t="n">
        <v>-30.67</v>
      </c>
      <c r="AJ3" s="3" t="n">
        <v>-44.21</v>
      </c>
      <c r="AK3" s="3" t="n">
        <v>-19.78</v>
      </c>
      <c r="AL3" s="3" t="n">
        <v>-3.89</v>
      </c>
      <c r="AM3" s="3" t="n">
        <v>-0.2</v>
      </c>
      <c r="AN3" s="3" t="n">
        <v>-7.2</v>
      </c>
      <c r="AO3" s="3" t="n">
        <v>-25.25</v>
      </c>
      <c r="AP3" s="3" t="n">
        <v>42.33</v>
      </c>
      <c r="AQ3" s="3" t="n">
        <v>1.44</v>
      </c>
      <c r="AR3" s="3" t="n">
        <v>-47.46</v>
      </c>
      <c r="AS3" s="3" t="n">
        <v>-100.26</v>
      </c>
      <c r="AT3" s="3" t="n">
        <v>20.62</v>
      </c>
      <c r="AU3" s="3" t="n">
        <v>95.72</v>
      </c>
      <c r="AV3" s="3" t="n">
        <v>91.5</v>
      </c>
      <c r="AW3" s="3" t="n">
        <v>4830</v>
      </c>
      <c r="AX3" s="3" t="n">
        <v>79.67</v>
      </c>
      <c r="AY3" s="3" t="n">
        <v>6.01</v>
      </c>
      <c r="AZ3" s="3" t="n">
        <v>2108</v>
      </c>
      <c r="BB3" s="3" t="n">
        <v>3.95</v>
      </c>
      <c r="BC3" s="3" t="n">
        <v>4.05</v>
      </c>
      <c r="BD3" s="3" t="n">
        <v>6.6</v>
      </c>
      <c r="BE3" s="3" t="n">
        <v>6.7</v>
      </c>
      <c r="BF3" s="3" t="n">
        <v>-19</v>
      </c>
      <c r="BG3" s="3" t="n">
        <v>-20</v>
      </c>
      <c r="BH3" s="3" t="n">
        <v>-0.28</v>
      </c>
      <c r="BI3" s="3" t="n">
        <v>-0.3</v>
      </c>
      <c r="BJ3" s="3" t="n">
        <v>0.08</v>
      </c>
      <c r="BK3" s="3" t="n">
        <v>0.09</v>
      </c>
      <c r="BL3" s="3" t="n">
        <v>1.1769</v>
      </c>
      <c r="BM3" s="3" t="n">
        <v>159.28</v>
      </c>
      <c r="BN3" s="3" t="n">
        <v>74294</v>
      </c>
      <c r="BO3" s="3" t="n">
        <v>2329</v>
      </c>
      <c r="BP3" s="3" t="n">
        <v>1033</v>
      </c>
      <c r="BQ3" s="3" t="n">
        <v>364000</v>
      </c>
      <c r="BR3" s="3" t="n">
        <v>-7900</v>
      </c>
      <c r="BS3" s="3" t="n">
        <v>411.5</v>
      </c>
      <c r="BV3" s="3" t="n">
        <v>187</v>
      </c>
      <c r="BW3" s="3" t="n">
        <v>3600000</v>
      </c>
      <c r="BX3" s="3" t="n">
        <v>4</v>
      </c>
      <c r="BY3" s="3" t="inlineStr">
        <is>
          <t>market-brief-2026-04-15.md v1 + trade-rec v3</t>
        </is>
      </c>
    </row>
    <row r="4">
      <c r="A4" s="12" t="n">
        <v>46128</v>
      </c>
      <c r="B4" t="n">
        <v>18.19</v>
      </c>
      <c r="C4" t="n">
        <v>20.78</v>
      </c>
      <c r="E4" t="n">
        <v>67.94</v>
      </c>
      <c r="F4" t="n">
        <v>98.17</v>
      </c>
      <c r="G4" t="n">
        <v>2.95</v>
      </c>
      <c r="H4" t="n">
        <v>-0.47</v>
      </c>
      <c r="K4" t="n">
        <v>3.77</v>
      </c>
      <c r="L4" t="n">
        <v>4.276</v>
      </c>
      <c r="M4" t="n">
        <v>0.506</v>
      </c>
      <c r="N4" t="n">
        <v>1.89</v>
      </c>
      <c r="O4" t="n">
        <v>2.36</v>
      </c>
      <c r="Q4" t="n">
        <v>7000</v>
      </c>
      <c r="S4" t="n">
        <v>699.9400000000001</v>
      </c>
      <c r="T4" t="n">
        <v>637.4</v>
      </c>
      <c r="U4" t="n">
        <v>89.06999999999999</v>
      </c>
      <c r="V4" t="n">
        <v>144.92</v>
      </c>
      <c r="W4" t="n">
        <v>198.87</v>
      </c>
      <c r="X4" t="n">
        <v>391.95</v>
      </c>
      <c r="Y4" t="n">
        <v>375.1</v>
      </c>
      <c r="Z4" t="n">
        <v>266.43</v>
      </c>
      <c r="AA4" t="n">
        <v>337.12</v>
      </c>
      <c r="AB4" t="n">
        <v>248.5</v>
      </c>
      <c r="AC4" t="n">
        <v>671.58</v>
      </c>
      <c r="AD4" t="n">
        <v>64.94</v>
      </c>
      <c r="AE4" t="n">
        <v>456.23</v>
      </c>
      <c r="AF4" t="n">
        <v>49.57</v>
      </c>
      <c r="AG4" t="n">
        <v>142.15</v>
      </c>
      <c r="AH4" t="n">
        <v>365</v>
      </c>
      <c r="AU4" t="n">
        <v>96.51000000000001</v>
      </c>
      <c r="AV4" t="n">
        <v>89.20999999999999</v>
      </c>
      <c r="AW4" t="n">
        <v>4840.2</v>
      </c>
      <c r="AX4" t="n">
        <v>79.59</v>
      </c>
      <c r="AY4" t="n">
        <v>6.096</v>
      </c>
      <c r="AZ4" t="n">
        <v>2144.6</v>
      </c>
      <c r="BA4" t="n">
        <v>1587.5</v>
      </c>
      <c r="BL4" t="n">
        <v>1.1786</v>
      </c>
      <c r="BM4" t="n">
        <v>159.02</v>
      </c>
      <c r="BN4" t="n">
        <v>74914</v>
      </c>
      <c r="BO4" t="n">
        <v>2347</v>
      </c>
      <c r="BP4" t="n">
        <v>863.5</v>
      </c>
      <c r="BQ4" t="n">
        <v>470280</v>
      </c>
      <c r="BS4" t="n">
        <v>411.5</v>
      </c>
      <c r="BV4" t="n">
        <v>9.44</v>
      </c>
      <c r="BX4" t="n">
        <v>4</v>
      </c>
      <c r="BY4" t="inlineStr">
        <is>
          <t>market-brief-2026-04-16.md v1</t>
        </is>
      </c>
    </row>
    <row r="5">
      <c r="A5" s="12" t="n">
        <v>46129</v>
      </c>
      <c r="B5" t="n">
        <v>17.92</v>
      </c>
      <c r="C5" t="n">
        <v>20.59</v>
      </c>
      <c r="D5" t="n">
        <v>0.87</v>
      </c>
      <c r="E5" t="n">
        <v>65.89</v>
      </c>
      <c r="F5" t="n">
        <v>97.8</v>
      </c>
      <c r="G5" t="n">
        <v>295</v>
      </c>
      <c r="H5" t="n">
        <v>-0.47</v>
      </c>
      <c r="I5" t="n">
        <v>0.1261</v>
      </c>
      <c r="J5" t="n">
        <v>0.18</v>
      </c>
      <c r="K5" t="n">
        <v>3.78</v>
      </c>
      <c r="L5" t="n">
        <v>4.228</v>
      </c>
      <c r="M5" t="n">
        <v>0.448</v>
      </c>
      <c r="N5" t="n">
        <v>1.89</v>
      </c>
      <c r="O5" t="n">
        <v>2.34</v>
      </c>
      <c r="P5" t="n">
        <v>0.59</v>
      </c>
      <c r="S5" t="n">
        <v>710.8200000000001</v>
      </c>
      <c r="T5" t="n">
        <v>649.13</v>
      </c>
      <c r="U5" t="n">
        <v>90.63</v>
      </c>
      <c r="V5" t="n">
        <v>153.72</v>
      </c>
      <c r="W5" t="n">
        <v>200.83</v>
      </c>
      <c r="X5" t="n">
        <v>404.37</v>
      </c>
      <c r="Y5" t="n">
        <v>368.92</v>
      </c>
      <c r="Z5" t="n">
        <v>271.52</v>
      </c>
      <c r="AA5" t="n">
        <v>336.9</v>
      </c>
      <c r="AB5" t="n">
        <v>254.41</v>
      </c>
      <c r="AC5" t="n">
        <v>685.17</v>
      </c>
      <c r="AD5" t="n">
        <v>69.92</v>
      </c>
      <c r="AE5" t="n">
        <v>460</v>
      </c>
      <c r="AF5" t="n">
        <v>50.96</v>
      </c>
      <c r="AG5" t="n">
        <v>148.13</v>
      </c>
      <c r="AH5" t="n">
        <v>371</v>
      </c>
      <c r="AI5" t="n">
        <v>-1</v>
      </c>
      <c r="AJ5" t="n">
        <v>-9.119999999999999</v>
      </c>
      <c r="AK5" t="n">
        <v>1</v>
      </c>
      <c r="AL5" t="n">
        <v>4.68</v>
      </c>
      <c r="AM5" t="n">
        <v>-0.8</v>
      </c>
      <c r="AN5" t="n">
        <v>1.39</v>
      </c>
      <c r="AO5" t="n">
        <v>0.75</v>
      </c>
      <c r="AP5" t="n">
        <v>13.89</v>
      </c>
      <c r="AQ5" t="n">
        <v>15.63</v>
      </c>
      <c r="AR5" t="n">
        <v>-5.25</v>
      </c>
      <c r="AS5" t="n">
        <v>-35.62</v>
      </c>
      <c r="AT5" t="n">
        <v>2.38</v>
      </c>
      <c r="AU5" t="n">
        <v>86.65000000000001</v>
      </c>
      <c r="AV5" t="n">
        <v>79.45999999999999</v>
      </c>
      <c r="AW5" t="n">
        <v>4897.9</v>
      </c>
      <c r="AX5" t="n">
        <v>82.995</v>
      </c>
      <c r="AY5" t="n">
        <v>6.1135</v>
      </c>
      <c r="AZ5" t="n">
        <v>2145.2</v>
      </c>
      <c r="BA5" t="n">
        <v>1606.5</v>
      </c>
      <c r="BB5" t="n">
        <v>3.5</v>
      </c>
      <c r="BC5" t="n">
        <v>3.5</v>
      </c>
      <c r="BD5" t="n">
        <v>6.98</v>
      </c>
      <c r="BE5" t="n">
        <v>6.98</v>
      </c>
      <c r="BF5" t="n">
        <v>-20</v>
      </c>
      <c r="BG5" t="n">
        <v>-20</v>
      </c>
      <c r="BH5" t="n">
        <v>-0.29</v>
      </c>
      <c r="BI5" t="n">
        <v>-0.29</v>
      </c>
      <c r="BJ5" t="n">
        <v>0.09</v>
      </c>
      <c r="BK5" t="n">
        <v>0.09</v>
      </c>
      <c r="BL5" t="n">
        <v>1.1818</v>
      </c>
      <c r="BM5" t="n">
        <v>157.92</v>
      </c>
      <c r="BN5" t="n">
        <v>77775</v>
      </c>
      <c r="BO5" t="n">
        <v>2443</v>
      </c>
      <c r="BP5" t="n">
        <v>1050</v>
      </c>
      <c r="BQ5" t="n">
        <v>470280</v>
      </c>
      <c r="BS5" t="n">
        <v>186</v>
      </c>
      <c r="BT5" t="inlineStr">
        <is>
          <t>negative 46+ days</t>
        </is>
      </c>
      <c r="BX5" t="n">
        <v>0</v>
      </c>
      <c r="BY5" t="inlineStr">
        <is>
          <t>market-brief-2026-04-17 v3</t>
        </is>
      </c>
    </row>
    <row r="6">
      <c r="A6" s="12" t="n">
        <v>46132</v>
      </c>
      <c r="B6" t="n">
        <v>19.36</v>
      </c>
      <c r="C6" t="n">
        <v>20.51</v>
      </c>
      <c r="D6" t="n">
        <v>0.9439</v>
      </c>
      <c r="E6" t="n">
        <v>65.69499999999999</v>
      </c>
      <c r="F6" t="n">
        <v>98.224</v>
      </c>
      <c r="G6" t="n">
        <v>2.85</v>
      </c>
      <c r="H6" t="n">
        <v>-0.47</v>
      </c>
      <c r="K6" t="n">
        <v>3.71</v>
      </c>
      <c r="L6" t="n">
        <v>4.246</v>
      </c>
      <c r="M6" t="n">
        <v>0.536</v>
      </c>
      <c r="N6" t="n">
        <v>1.89</v>
      </c>
      <c r="O6" t="n">
        <v>2.356</v>
      </c>
      <c r="P6" t="n">
        <v>0.59</v>
      </c>
      <c r="S6" t="n">
        <v>710.14</v>
      </c>
      <c r="T6" t="n">
        <v>648.85</v>
      </c>
      <c r="U6" t="n">
        <v>90.19</v>
      </c>
      <c r="V6" t="n">
        <v>152.33</v>
      </c>
      <c r="W6" t="n">
        <v>201.68</v>
      </c>
      <c r="X6" t="n">
        <v>400.62</v>
      </c>
      <c r="Y6" t="n">
        <v>370.5</v>
      </c>
      <c r="Z6" t="n">
        <v>270.23</v>
      </c>
      <c r="AA6" t="n">
        <v>341.68</v>
      </c>
      <c r="AB6" t="n">
        <v>250.56</v>
      </c>
      <c r="AC6" t="n">
        <v>688.55</v>
      </c>
      <c r="AD6" t="n">
        <v>68.5</v>
      </c>
      <c r="AE6" t="n">
        <v>455.07</v>
      </c>
      <c r="AF6" t="n">
        <v>50.81</v>
      </c>
      <c r="AG6" t="n">
        <v>146.39</v>
      </c>
      <c r="AH6" t="n">
        <v>372.52</v>
      </c>
      <c r="AU6" t="n">
        <v>94.83</v>
      </c>
      <c r="AV6" t="n">
        <v>87.22</v>
      </c>
      <c r="AW6" t="n">
        <v>4830.7</v>
      </c>
      <c r="AX6" t="n">
        <v>79.91500000000001</v>
      </c>
      <c r="AY6" t="n">
        <v>6.036</v>
      </c>
      <c r="AZ6" t="n">
        <v>2090.7</v>
      </c>
      <c r="BA6" t="n">
        <v>1552</v>
      </c>
      <c r="BL6" t="n">
        <v>1.1763</v>
      </c>
      <c r="BM6" t="n">
        <v>158.898</v>
      </c>
      <c r="BN6" t="n">
        <v>75370.60000000001</v>
      </c>
      <c r="BO6" t="n">
        <v>2313.3</v>
      </c>
      <c r="BP6" t="n">
        <v>1064.99</v>
      </c>
      <c r="BQ6" t="n">
        <v>396267</v>
      </c>
      <c r="BX6" t="n">
        <v>3</v>
      </c>
      <c r="BY6" t="inlineStr">
        <is>
          <t>2026-04-20/market-brief-2026-04-20.md v2</t>
        </is>
      </c>
    </row>
    <row r="7">
      <c r="A7" s="17" t="n">
        <v>46133</v>
      </c>
      <c r="B7" t="n">
        <v>18.86</v>
      </c>
      <c r="C7" t="n">
        <v>21.24</v>
      </c>
      <c r="D7" t="n">
        <v>0.8879</v>
      </c>
      <c r="E7" t="n">
        <v>67.90349999999999</v>
      </c>
      <c r="F7" t="n">
        <v>98.191</v>
      </c>
      <c r="G7" t="n">
        <v>2.85</v>
      </c>
      <c r="H7" t="n">
        <v>-0.47</v>
      </c>
      <c r="I7" t="n">
        <v>0.1295</v>
      </c>
      <c r="J7" t="n">
        <v>1.65</v>
      </c>
      <c r="K7" t="n">
        <v>3.71</v>
      </c>
      <c r="L7" t="n">
        <v>4.25</v>
      </c>
      <c r="M7" t="n">
        <v>0.54</v>
      </c>
      <c r="N7" t="n">
        <v>1.89</v>
      </c>
      <c r="O7" t="n">
        <v>2.36</v>
      </c>
      <c r="Q7" t="n">
        <v>7109.14</v>
      </c>
      <c r="R7" t="n">
        <v>26590.344</v>
      </c>
      <c r="S7" t="n">
        <v>708.72</v>
      </c>
      <c r="T7" t="n">
        <v>646.79</v>
      </c>
      <c r="U7" t="n">
        <v>89.33</v>
      </c>
      <c r="V7" t="n">
        <v>150.09</v>
      </c>
      <c r="W7" t="n">
        <v>202.06</v>
      </c>
      <c r="X7" t="n">
        <v>392.5</v>
      </c>
      <c r="Y7" t="n">
        <v>366.24</v>
      </c>
      <c r="Z7" t="n">
        <v>273.05</v>
      </c>
      <c r="AA7" t="n">
        <v>337.42</v>
      </c>
      <c r="AB7" t="n">
        <v>248.28</v>
      </c>
      <c r="AC7" t="n">
        <v>670.91</v>
      </c>
      <c r="AD7" t="n">
        <v>65.7</v>
      </c>
      <c r="AE7" t="n">
        <v>448.42</v>
      </c>
      <c r="AF7" t="n">
        <v>51.46</v>
      </c>
      <c r="AG7" t="n">
        <v>145.89</v>
      </c>
      <c r="AH7" t="n">
        <v>374.11</v>
      </c>
      <c r="AI7" t="n">
        <v>-1</v>
      </c>
      <c r="AJ7" t="n">
        <v>-9.119999999999999</v>
      </c>
      <c r="AK7" t="n">
        <v>1</v>
      </c>
      <c r="AL7" t="n">
        <v>4.68</v>
      </c>
      <c r="AM7" t="n">
        <v>-0.8</v>
      </c>
      <c r="AN7" t="n">
        <v>1.39</v>
      </c>
      <c r="AO7" t="n">
        <v>0.75</v>
      </c>
      <c r="AP7" t="n">
        <v>13.89</v>
      </c>
      <c r="AQ7" t="n">
        <v>15.63</v>
      </c>
      <c r="AR7" t="n">
        <v>-5.25</v>
      </c>
      <c r="AS7" t="n">
        <v>-35.62</v>
      </c>
      <c r="AT7" t="n">
        <v>2.38</v>
      </c>
      <c r="AU7" t="n">
        <v>90.73</v>
      </c>
      <c r="AV7" t="n">
        <v>87.55</v>
      </c>
      <c r="AW7" t="n">
        <v>4812</v>
      </c>
      <c r="AX7" t="n">
        <v>79.19</v>
      </c>
      <c r="AY7" t="n">
        <v>6.06</v>
      </c>
      <c r="AZ7" t="n">
        <v>2096.2</v>
      </c>
      <c r="BA7" t="n">
        <v>1576.5</v>
      </c>
      <c r="BB7" t="n">
        <v>0.95</v>
      </c>
      <c r="BC7" t="n">
        <v>2.95</v>
      </c>
      <c r="BD7" t="n">
        <v>6.98</v>
      </c>
      <c r="BE7" t="n">
        <v>6.98</v>
      </c>
      <c r="BF7" t="n">
        <v>-20</v>
      </c>
      <c r="BG7" t="n">
        <v>-20</v>
      </c>
      <c r="BH7" t="n">
        <v>-0.29</v>
      </c>
      <c r="BI7" t="n">
        <v>-0.29</v>
      </c>
      <c r="BJ7" t="n">
        <v>0.09</v>
      </c>
      <c r="BK7" t="n">
        <v>0.09</v>
      </c>
      <c r="BL7" t="n">
        <v>1.1767</v>
      </c>
      <c r="BM7" t="n">
        <v>159.095</v>
      </c>
      <c r="BN7" t="n">
        <v>76374.86</v>
      </c>
      <c r="BO7" t="n">
        <v>2316.71</v>
      </c>
      <c r="BP7" t="n">
        <v>876.26</v>
      </c>
      <c r="BQ7" t="n">
        <v>464309</v>
      </c>
      <c r="BS7" t="n">
        <v>412</v>
      </c>
      <c r="BX7" t="n">
        <v>1</v>
      </c>
      <c r="BY7" t="inlineStr">
        <is>
          <t>2026-04-21/market-brief-2026-04-21.md v2</t>
        </is>
      </c>
    </row>
  </sheetData>
  <autoFilter ref="A1:BY1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6640625" defaultRowHeight="14.25"/>
  <cols>
    <col width="6" customWidth="1" style="15" min="1" max="1"/>
    <col width="10" customWidth="1" style="15" min="2" max="2"/>
    <col width="12" customWidth="1" style="15" min="3" max="3"/>
    <col width="8" customWidth="1" style="15" min="4" max="4"/>
    <col width="12" customWidth="1" style="15" min="5" max="5"/>
    <col width="8" customWidth="1" style="15" min="6" max="6"/>
    <col width="4" customWidth="1" style="15" min="7" max="10"/>
    <col width="5" customWidth="1" style="15" min="11" max="11"/>
    <col width="12" customWidth="1" style="15" min="12" max="12"/>
    <col width="10" customWidth="1" style="15" min="13" max="13"/>
    <col width="12" customWidth="1" style="15" min="14" max="15"/>
    <col width="30" customWidth="1" style="15" min="16" max="16"/>
    <col width="12" customWidth="1" style="15" min="17" max="17"/>
    <col width="10" customWidth="1" style="15" min="18" max="18"/>
    <col width="35" customWidth="1" style="15" min="19" max="19"/>
    <col width="10" customWidth="1" style="15" min="20" max="20"/>
    <col width="30" customWidth="1" style="15" min="21" max="21"/>
    <col width="12" customWidth="1" style="15" min="22" max="25"/>
    <col width="10" customWidth="1" style="15" min="26" max="26"/>
    <col width="8" customWidth="1" style="15" min="27" max="28"/>
    <col width="14" customWidth="1" style="15" min="29" max="29"/>
    <col width="10" customWidth="1" style="15" min="30" max="30"/>
    <col width="30" customWidth="1" style="15" min="31" max="31"/>
    <col width="40" customWidth="1" style="15" min="32" max="32"/>
  </cols>
  <sheetData>
    <row r="1" ht="35.1" customHeight="1" s="15">
      <c r="A1" s="1" t="inlineStr">
        <is>
          <t>ID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Asset</t>
        </is>
      </c>
      <c r="E1" s="1" t="inlineStr">
        <is>
          <t>AssetClass</t>
        </is>
      </c>
      <c r="F1" s="1" t="inlineStr">
        <is>
          <t>Direction</t>
        </is>
      </c>
      <c r="G1" s="1" t="inlineStr">
        <is>
          <t>S</t>
        </is>
      </c>
      <c r="H1" s="1" t="inlineStr">
        <is>
          <t>T</t>
        </is>
      </c>
      <c r="I1" s="1" t="inlineStr">
        <is>
          <t>C</t>
        </is>
      </c>
      <c r="J1" s="1" t="inlineStr">
        <is>
          <t>R</t>
        </is>
      </c>
      <c r="K1" s="1" t="inlineStr">
        <is>
          <t>Sum</t>
        </is>
      </c>
      <c r="L1" s="1" t="inlineStr">
        <is>
          <t>Entry_Price</t>
        </is>
      </c>
      <c r="M1" s="1" t="inlineStr">
        <is>
          <t>ATR_Stop</t>
        </is>
      </c>
      <c r="N1" s="1" t="inlineStr">
        <is>
          <t>Target_TP1</t>
        </is>
      </c>
      <c r="O1" s="1" t="inlineStr">
        <is>
          <t>Target_TP2</t>
        </is>
      </c>
      <c r="P1" s="1" t="inlineStr">
        <is>
          <t>Invalidation</t>
        </is>
      </c>
      <c r="Q1" s="1" t="inlineStr">
        <is>
          <t>Inv_Date</t>
        </is>
      </c>
      <c r="R1" s="1" t="inlineStr">
        <is>
          <t>VIX_at_Entry</t>
        </is>
      </c>
      <c r="S1" s="1" t="inlineStr">
        <is>
          <t>Regime_Label</t>
        </is>
      </c>
      <c r="T1" s="1" t="inlineStr">
        <is>
          <t>Blocking_Leg</t>
        </is>
      </c>
      <c r="U1" s="1" t="inlineStr">
        <is>
          <t>Block_Reason</t>
        </is>
      </c>
      <c r="V1" s="1" t="inlineStr">
        <is>
          <t>Taken</t>
        </is>
      </c>
      <c r="W1" s="1" t="inlineStr">
        <is>
          <t>Status</t>
        </is>
      </c>
      <c r="X1" s="1" t="inlineStr">
        <is>
          <t>Exit_Price</t>
        </is>
      </c>
      <c r="Y1" s="1" t="inlineStr">
        <is>
          <t>Exit_Date</t>
        </is>
      </c>
      <c r="Z1" s="1" t="inlineStr">
        <is>
          <t>Days_to_Exit</t>
        </is>
      </c>
      <c r="AA1" s="1" t="inlineStr">
        <is>
          <t>MAE_Pct</t>
        </is>
      </c>
      <c r="AB1" s="1" t="inlineStr">
        <is>
          <t>MFE_Pct</t>
        </is>
      </c>
      <c r="AC1" s="1" t="inlineStr">
        <is>
          <t>Catalyst_Outcome</t>
        </is>
      </c>
      <c r="AD1" s="1" t="inlineStr">
        <is>
          <t>Hypo_PnL_Pct</t>
        </is>
      </c>
      <c r="AE1" s="1" t="inlineStr">
        <is>
          <t>Source_File</t>
        </is>
      </c>
      <c r="AF1" s="1" t="inlineStr">
        <is>
          <t>Notes</t>
        </is>
      </c>
      <c r="AG1" t="inlineStr">
        <is>
          <t>overlay_gate_status</t>
        </is>
      </c>
      <c r="AH1" t="inlineStr">
        <is>
          <t>v027_regime_bucket</t>
        </is>
      </c>
      <c r="AI1" t="inlineStr">
        <is>
          <t>bab_sleeve_weight</t>
        </is>
      </c>
      <c r="AJ1" t="inlineStr">
        <is>
          <t>dealergamma_sleeve_weight</t>
        </is>
      </c>
    </row>
    <row r="2" ht="15" customHeight="1" s="15">
      <c r="A2" s="3" t="inlineStr">
        <is>
          <t>P001</t>
        </is>
      </c>
      <c r="B2" s="3" t="inlineStr">
        <is>
          <t>Promoted</t>
        </is>
      </c>
      <c r="C2" s="2" t="n">
        <v>46127</v>
      </c>
      <c r="D2" s="3" t="inlineStr">
        <is>
          <t>EWY</t>
        </is>
      </c>
      <c r="E2" s="3" t="inlineStr">
        <is>
          <t>ETFs/Indices</t>
        </is>
      </c>
      <c r="F2" s="3" t="inlineStr">
        <is>
          <t>Long</t>
        </is>
      </c>
      <c r="G2" s="3" t="n">
        <v>1</v>
      </c>
      <c r="H2" s="3" t="n">
        <v>1</v>
      </c>
      <c r="I2" s="3" t="n">
        <v>1</v>
      </c>
      <c r="J2" s="3" t="n">
        <v>0</v>
      </c>
      <c r="K2" s="3" t="n">
        <v>3</v>
      </c>
      <c r="L2" s="3" t="n">
        <v>144.1</v>
      </c>
      <c r="M2" s="3" t="n">
        <v>133</v>
      </c>
      <c r="N2" s="3" t="n">
        <v>156</v>
      </c>
      <c r="O2" s="3" t="n">
        <v>166</v>
      </c>
      <c r="P2" s="3" t="inlineStr">
        <is>
          <t>TSM miss / KOSPI &lt;5800 / DXY &gt;100</t>
        </is>
      </c>
      <c r="Q2" s="2" t="n">
        <v>46155</v>
      </c>
      <c r="R2" s="3" t="n">
        <v>18.36</v>
      </c>
      <c r="S2" s="3" t="inlineStr">
        <is>
          <t>Post-shock cautious risk-on</t>
        </is>
      </c>
      <c r="V2" s="3" t="inlineStr">
        <is>
          <t>YES</t>
        </is>
      </c>
      <c r="W2" s="3" t="inlineStr">
        <is>
          <t>HIT_STOP</t>
        </is>
      </c>
      <c r="X2" t="n">
        <v>145.39</v>
      </c>
      <c r="Y2" s="13" t="n">
        <v>46128</v>
      </c>
      <c r="Z2" t="n">
        <v>1</v>
      </c>
      <c r="AD2" t="n">
        <v>0.9</v>
      </c>
      <c r="AE2" s="3" t="inlineStr">
        <is>
          <t>trade-rec-2026-04-15.md v1</t>
        </is>
      </c>
      <c r="AF2" s="3" t="inlineStr">
        <is>
          <t>First promoted signal. Checklist 6/6 PASS. TAKEN 2026-04-15 22:36 UTC+8. Limit buy filled at $144.10 ($299.73 USDT). Within entry zone $143-$148. | EXIT 2026-04-16 21:55 UTC+8 stop-market @ $145.39. Held ~23h. Protective stop was tightened to ~0.9% above entry (well inside methodology ATR stop of $133); tripped on post-TSM chop before thesis played out. Reconciled 2026-04-17.</t>
        </is>
      </c>
      <c r="AG2" t="inlineStr">
        <is>
          <t>n/a (pre-meta)</t>
        </is>
      </c>
      <c r="AH2" t="inlineStr">
        <is>
          <t>n/a (pre-meta)</t>
        </is>
      </c>
      <c r="AI2" t="inlineStr">
        <is>
          <t>n/a (pre-meta)</t>
        </is>
      </c>
      <c r="AJ2" t="inlineStr">
        <is>
          <t>n/a (pre-meta)</t>
        </is>
      </c>
    </row>
    <row r="3" ht="15" customHeight="1" s="15">
      <c r="A3" s="3" t="inlineStr">
        <is>
          <t>P002</t>
        </is>
      </c>
      <c r="B3" s="3" t="inlineStr">
        <is>
          <t>Promoted</t>
        </is>
      </c>
      <c r="C3" s="2" t="n">
        <v>46127</v>
      </c>
      <c r="D3" s="3" t="inlineStr">
        <is>
          <t>TSM</t>
        </is>
      </c>
      <c r="E3" s="3" t="inlineStr">
        <is>
          <t>Equities</t>
        </is>
      </c>
      <c r="F3" s="3" t="inlineStr">
        <is>
          <t>Long</t>
        </is>
      </c>
      <c r="G3" s="3" t="n">
        <v>1</v>
      </c>
      <c r="H3" s="3" t="n">
        <v>1</v>
      </c>
      <c r="I3" s="3" t="n">
        <v>1</v>
      </c>
      <c r="J3" s="3" t="n">
        <v>0</v>
      </c>
      <c r="K3" s="3" t="n">
        <v>3</v>
      </c>
      <c r="L3" s="3" t="n">
        <v>370.6</v>
      </c>
      <c r="M3" s="3" t="n">
        <v>334</v>
      </c>
      <c r="N3" s="3" t="n">
        <v>397</v>
      </c>
      <c r="O3" s="3" t="n">
        <v>424</v>
      </c>
      <c r="P3" s="3" t="inlineStr">
        <is>
          <t>Q1 miss / KOSPI &lt;5800 / DXY &gt;100</t>
        </is>
      </c>
      <c r="Q3" s="2" t="n">
        <v>46155</v>
      </c>
      <c r="R3" s="3" t="n">
        <v>18.36</v>
      </c>
      <c r="S3" s="3" t="inlineStr">
        <is>
          <t>Post-shock cautious risk-on</t>
        </is>
      </c>
      <c r="V3" s="3" t="inlineStr">
        <is>
          <t>CONDITIONAL</t>
        </is>
      </c>
      <c r="W3" s="3" t="inlineStr">
        <is>
          <t>DE-PROMOTED</t>
        </is>
      </c>
      <c r="AE3" s="3" t="inlineStr">
        <is>
          <t>trade-rec-2026-04-15.md v2</t>
        </is>
      </c>
      <c r="AF3" s="3" t="inlineStr">
        <is>
          <t>v3 DE-PROMOTION: residual flipped to -19.78% (T=-1). Sum +3→+1.</t>
        </is>
      </c>
      <c r="AG3" t="inlineStr">
        <is>
          <t>n/a (pre-meta)</t>
        </is>
      </c>
      <c r="AH3" t="inlineStr">
        <is>
          <t>n/a (pre-meta)</t>
        </is>
      </c>
      <c r="AI3" t="inlineStr">
        <is>
          <t>n/a (pre-meta)</t>
        </is>
      </c>
      <c r="AJ3" t="inlineStr">
        <is>
          <t>n/a (pre-meta)</t>
        </is>
      </c>
    </row>
    <row r="4" ht="15" customHeight="1" s="15">
      <c r="A4" s="3" t="inlineStr">
        <is>
          <t>P003</t>
        </is>
      </c>
      <c r="B4" s="3" t="inlineStr">
        <is>
          <t>Promoted</t>
        </is>
      </c>
      <c r="C4" s="2" t="n">
        <v>46127</v>
      </c>
      <c r="D4" s="3" t="inlineStr">
        <is>
          <t>INTC</t>
        </is>
      </c>
      <c r="E4" s="3" t="inlineStr">
        <is>
          <t>Equities</t>
        </is>
      </c>
      <c r="F4" s="3" t="inlineStr">
        <is>
          <t>Long</t>
        </is>
      </c>
      <c r="G4" s="3" t="n">
        <v>1</v>
      </c>
      <c r="H4" s="3" t="n">
        <v>1</v>
      </c>
      <c r="I4" s="3" t="n">
        <v>1</v>
      </c>
      <c r="J4" s="3" t="n">
        <v>0</v>
      </c>
      <c r="K4" s="3" t="n">
        <v>3</v>
      </c>
      <c r="L4" s="3" t="n">
        <v>64.68000000000001</v>
      </c>
      <c r="M4" s="3" t="n">
        <v>56</v>
      </c>
      <c r="N4" s="3" t="n">
        <v>70</v>
      </c>
      <c r="O4" s="3" t="n">
        <v>77</v>
      </c>
      <c r="P4" s="3" t="inlineStr">
        <is>
          <t>Earnings miss / Terafab delay / trend break &lt;$55</t>
        </is>
      </c>
      <c r="Q4" s="2" t="n">
        <v>46155</v>
      </c>
      <c r="R4" s="3" t="n">
        <v>18.36</v>
      </c>
      <c r="S4" s="3" t="inlineStr">
        <is>
          <t>Post-shock cautious risk-on</t>
        </is>
      </c>
      <c r="V4" s="3" t="inlineStr">
        <is>
          <t>YES</t>
        </is>
      </c>
      <c r="W4" s="3" t="inlineStr">
        <is>
          <t>HIT_TARGET</t>
        </is>
      </c>
      <c r="X4" t="n">
        <v>68.26000000000001</v>
      </c>
      <c r="Y4" s="12" t="n">
        <v>46131</v>
      </c>
      <c r="Z4" t="n">
        <v>3</v>
      </c>
      <c r="AC4" t="inlineStr">
        <is>
          <t>EXITED_PRE_CATALYST</t>
        </is>
      </c>
      <c r="AD4" t="n">
        <v>0.57</v>
      </c>
      <c r="AE4" s="3" t="inlineStr">
        <is>
          <t>trade-rec-2026-04-15.md v3</t>
        </is>
      </c>
      <c r="AF4" s="3" t="inlineStr">
        <is>
          <t>Closed 2026-04-19 21:31 UTC+8 before Apr-23 earnings. Memory.md entry $64.68 vs Binance fill $67.87 — entry-price discrepancy noted.</t>
        </is>
      </c>
      <c r="AG4" t="inlineStr">
        <is>
          <t>n/a (pre-meta)</t>
        </is>
      </c>
      <c r="AH4" t="inlineStr">
        <is>
          <t>n/a (pre-meta)</t>
        </is>
      </c>
      <c r="AI4" t="inlineStr">
        <is>
          <t>n/a (pre-meta)</t>
        </is>
      </c>
      <c r="AJ4" t="inlineStr">
        <is>
          <t>n/a (pre-meta)</t>
        </is>
      </c>
    </row>
    <row r="5" ht="15" customHeight="1" s="15">
      <c r="A5" s="3" t="inlineStr">
        <is>
          <t>N001</t>
        </is>
      </c>
      <c r="B5" s="3" t="inlineStr">
        <is>
          <t>Near-Miss</t>
        </is>
      </c>
      <c r="C5" s="2" t="n">
        <v>46126</v>
      </c>
      <c r="D5" s="3" t="inlineStr">
        <is>
          <t>EWY</t>
        </is>
      </c>
      <c r="E5" s="3" t="inlineStr">
        <is>
          <t>ETFs/Indices</t>
        </is>
      </c>
      <c r="F5" s="3" t="inlineStr">
        <is>
          <t>Long</t>
        </is>
      </c>
      <c r="G5" s="3" t="n">
        <v>1</v>
      </c>
      <c r="H5" s="3" t="n">
        <v>1</v>
      </c>
      <c r="I5" s="3" t="n">
        <v>1</v>
      </c>
      <c r="J5" s="3" t="n">
        <v>0</v>
      </c>
      <c r="K5" s="3" t="n">
        <v>3</v>
      </c>
      <c r="S5" s="3" t="inlineStr">
        <is>
          <t>Energy-led reflation shock</t>
        </is>
      </c>
      <c r="T5" s="3" t="inlineStr">
        <is>
          <t>fail-loud</t>
        </is>
      </c>
      <c r="U5" s="3" t="inlineStr">
        <is>
          <t>Intermediary capital MISSING</t>
        </is>
      </c>
      <c r="W5" s="3" t="inlineStr">
        <is>
          <t>STILL_OPEN</t>
        </is>
      </c>
      <c r="AE5" s="3" t="inlineStr">
        <is>
          <t>trade-rec-2026-04-14.md</t>
        </is>
      </c>
      <c r="AF5" s="3" t="inlineStr">
        <is>
          <t>Sum=+3 on paper but checklist cannot pass.</t>
        </is>
      </c>
      <c r="AG5" t="inlineStr">
        <is>
          <t>n/a (pre-meta)</t>
        </is>
      </c>
      <c r="AH5" t="inlineStr">
        <is>
          <t>n/a (pre-meta)</t>
        </is>
      </c>
      <c r="AI5" t="inlineStr">
        <is>
          <t>n/a (pre-meta)</t>
        </is>
      </c>
      <c r="AJ5" t="inlineStr">
        <is>
          <t>n/a (pre-meta)</t>
        </is>
      </c>
    </row>
    <row r="6" ht="15" customHeight="1" s="15">
      <c r="A6" s="3" t="inlineStr">
        <is>
          <t>N002</t>
        </is>
      </c>
      <c r="B6" s="3" t="inlineStr">
        <is>
          <t>Near-Miss</t>
        </is>
      </c>
      <c r="C6" s="2" t="n">
        <v>46126</v>
      </c>
      <c r="D6" s="3" t="inlineStr">
        <is>
          <t>Copper</t>
        </is>
      </c>
      <c r="E6" s="3" t="inlineStr">
        <is>
          <t>Commodities</t>
        </is>
      </c>
      <c r="F6" s="3" t="inlineStr">
        <is>
          <t>Long</t>
        </is>
      </c>
      <c r="G6" s="3" t="n">
        <v>1</v>
      </c>
      <c r="H6" s="3" t="n">
        <v>1</v>
      </c>
      <c r="I6" s="3" t="n">
        <v>0</v>
      </c>
      <c r="J6" s="3" t="n">
        <v>0</v>
      </c>
      <c r="K6" s="3" t="n">
        <v>2</v>
      </c>
      <c r="S6" s="3" t="inlineStr">
        <is>
          <t>Energy-led reflation shock</t>
        </is>
      </c>
      <c r="T6" s="3" t="inlineStr">
        <is>
          <t>C</t>
        </is>
      </c>
      <c r="U6" s="3" t="inlineStr">
        <is>
          <t>No imminent catalyst</t>
        </is>
      </c>
      <c r="W6" s="3" t="inlineStr">
        <is>
          <t>STILL_OPEN</t>
        </is>
      </c>
      <c r="AE6" s="3" t="inlineStr">
        <is>
          <t>trade-rec-2026-04-14.md</t>
        </is>
      </c>
      <c r="AF6" s="3" t="inlineStr">
        <is>
          <t>Cleanest S+T in metals; awaiting China data</t>
        </is>
      </c>
      <c r="AG6" t="inlineStr">
        <is>
          <t>n/a (pre-meta)</t>
        </is>
      </c>
      <c r="AH6" t="inlineStr">
        <is>
          <t>n/a (pre-meta)</t>
        </is>
      </c>
      <c r="AI6" t="inlineStr">
        <is>
          <t>n/a (pre-meta)</t>
        </is>
      </c>
      <c r="AJ6" t="inlineStr">
        <is>
          <t>n/a (pre-meta)</t>
        </is>
      </c>
    </row>
    <row r="7" ht="15" customHeight="1" s="15">
      <c r="A7" s="3" t="inlineStr">
        <is>
          <t>N003</t>
        </is>
      </c>
      <c r="B7" s="3" t="inlineStr">
        <is>
          <t>Near-Miss</t>
        </is>
      </c>
      <c r="C7" s="2" t="n">
        <v>46126</v>
      </c>
      <c r="D7" s="3" t="inlineStr">
        <is>
          <t>Gold</t>
        </is>
      </c>
      <c r="E7" s="3" t="inlineStr">
        <is>
          <t>Commodities</t>
        </is>
      </c>
      <c r="F7" s="3" t="inlineStr">
        <is>
          <t>Long</t>
        </is>
      </c>
      <c r="G7" s="3" t="n">
        <v>1</v>
      </c>
      <c r="H7" s="3" t="n">
        <v>1</v>
      </c>
      <c r="I7" s="3" t="n">
        <v>1</v>
      </c>
      <c r="J7" s="3" t="n">
        <v>-1</v>
      </c>
      <c r="K7" s="3" t="n">
        <v>2</v>
      </c>
      <c r="S7" s="3" t="inlineStr">
        <is>
          <t>Energy-led reflation shock</t>
        </is>
      </c>
      <c r="T7" s="3" t="inlineStr">
        <is>
          <t>R</t>
        </is>
      </c>
      <c r="U7" s="3" t="inlineStr">
        <is>
          <t>Crowded positioning</t>
        </is>
      </c>
      <c r="W7" s="3" t="inlineStr">
        <is>
          <t>STILL_OPEN</t>
        </is>
      </c>
      <c r="AE7" s="3" t="inlineStr">
        <is>
          <t>trade-rec-2026-04-14.md</t>
        </is>
      </c>
      <c r="AF7" s="3" t="inlineStr">
        <is>
          <t>Correlation-gated with Silver/Copper</t>
        </is>
      </c>
      <c r="AG7" t="inlineStr">
        <is>
          <t>n/a (pre-meta)</t>
        </is>
      </c>
      <c r="AH7" t="inlineStr">
        <is>
          <t>n/a (pre-meta)</t>
        </is>
      </c>
      <c r="AI7" t="inlineStr">
        <is>
          <t>n/a (pre-meta)</t>
        </is>
      </c>
      <c r="AJ7" t="inlineStr">
        <is>
          <t>n/a (pre-meta)</t>
        </is>
      </c>
    </row>
    <row r="8" ht="15" customHeight="1" s="15">
      <c r="A8" s="3" t="inlineStr">
        <is>
          <t>N004</t>
        </is>
      </c>
      <c r="B8" s="3" t="inlineStr">
        <is>
          <t>Near-Miss</t>
        </is>
      </c>
      <c r="C8" s="2" t="n">
        <v>46126</v>
      </c>
      <c r="D8" s="3" t="inlineStr">
        <is>
          <t>Silver</t>
        </is>
      </c>
      <c r="E8" s="3" t="inlineStr">
        <is>
          <t>Commodities</t>
        </is>
      </c>
      <c r="F8" s="3" t="inlineStr">
        <is>
          <t>Long</t>
        </is>
      </c>
      <c r="G8" s="3" t="n">
        <v>1</v>
      </c>
      <c r="H8" s="3" t="n">
        <v>1</v>
      </c>
      <c r="I8" s="3" t="n">
        <v>1</v>
      </c>
      <c r="J8" s="3" t="n">
        <v>-1</v>
      </c>
      <c r="K8" s="3" t="n">
        <v>2</v>
      </c>
      <c r="S8" s="3" t="inlineStr">
        <is>
          <t>Energy-led reflation shock</t>
        </is>
      </c>
      <c r="T8" s="3" t="inlineStr">
        <is>
          <t>R</t>
        </is>
      </c>
      <c r="U8" s="3" t="inlineStr">
        <is>
          <t>Crowded alongside gold</t>
        </is>
      </c>
      <c r="W8" s="3" t="inlineStr">
        <is>
          <t>STILL_OPEN</t>
        </is>
      </c>
      <c r="AE8" s="3" t="inlineStr">
        <is>
          <t>trade-rec-2026-04-14.md</t>
        </is>
      </c>
      <c r="AF8" s="3" t="inlineStr">
        <is>
          <t>Silver squeeze industrial demand breakout</t>
        </is>
      </c>
      <c r="AG8" t="inlineStr">
        <is>
          <t>n/a (pre-meta)</t>
        </is>
      </c>
      <c r="AH8" t="inlineStr">
        <is>
          <t>n/a (pre-meta)</t>
        </is>
      </c>
      <c r="AI8" t="inlineStr">
        <is>
          <t>n/a (pre-meta)</t>
        </is>
      </c>
      <c r="AJ8" t="inlineStr">
        <is>
          <t>n/a (pre-meta)</t>
        </is>
      </c>
    </row>
    <row r="9" ht="15" customHeight="1" s="15">
      <c r="A9" s="3" t="inlineStr">
        <is>
          <t>N005</t>
        </is>
      </c>
      <c r="B9" s="3" t="inlineStr">
        <is>
          <t>Near-Miss</t>
        </is>
      </c>
      <c r="C9" s="2" t="n">
        <v>46126</v>
      </c>
      <c r="D9" s="3" t="inlineStr">
        <is>
          <t>Brent</t>
        </is>
      </c>
      <c r="E9" s="3" t="inlineStr">
        <is>
          <t>Commodities</t>
        </is>
      </c>
      <c r="F9" s="3" t="inlineStr">
        <is>
          <t>Long</t>
        </is>
      </c>
      <c r="G9" s="3" t="n">
        <v>1</v>
      </c>
      <c r="H9" s="3" t="n">
        <v>1</v>
      </c>
      <c r="I9" s="3" t="n">
        <v>1</v>
      </c>
      <c r="J9" s="3" t="n">
        <v>-1</v>
      </c>
      <c r="K9" s="3" t="n">
        <v>2</v>
      </c>
      <c r="S9" s="3" t="inlineStr">
        <is>
          <t>Energy-led reflation shock</t>
        </is>
      </c>
      <c r="T9" s="3" t="inlineStr">
        <is>
          <t>R</t>
        </is>
      </c>
      <c r="U9" s="3" t="inlineStr">
        <is>
          <t>Positioning crowded long on geopolitical premium</t>
        </is>
      </c>
      <c r="W9" s="3" t="inlineStr">
        <is>
          <t>STILL_OPEN</t>
        </is>
      </c>
      <c r="AE9" s="3" t="inlineStr">
        <is>
          <t>trade-rec-2026-04-14.md</t>
        </is>
      </c>
      <c r="AF9" s="3" t="inlineStr">
        <is>
          <t>Deep backwardation; basis-momentum MISSING</t>
        </is>
      </c>
      <c r="AG9" t="inlineStr">
        <is>
          <t>n/a (pre-meta)</t>
        </is>
      </c>
      <c r="AH9" t="inlineStr">
        <is>
          <t>n/a (pre-meta)</t>
        </is>
      </c>
      <c r="AI9" t="inlineStr">
        <is>
          <t>n/a (pre-meta)</t>
        </is>
      </c>
      <c r="AJ9" t="inlineStr">
        <is>
          <t>n/a (pre-meta)</t>
        </is>
      </c>
    </row>
    <row r="10" ht="15" customHeight="1" s="15">
      <c r="A10" s="3" t="inlineStr">
        <is>
          <t>N006</t>
        </is>
      </c>
      <c r="B10" s="3" t="inlineStr">
        <is>
          <t>Near-Miss</t>
        </is>
      </c>
      <c r="C10" s="2" t="n">
        <v>46126</v>
      </c>
      <c r="D10" s="3" t="inlineStr">
        <is>
          <t>WTI</t>
        </is>
      </c>
      <c r="E10" s="3" t="inlineStr">
        <is>
          <t>Commodities</t>
        </is>
      </c>
      <c r="F10" s="3" t="inlineStr">
        <is>
          <t>Long</t>
        </is>
      </c>
      <c r="G10" s="3" t="n">
        <v>1</v>
      </c>
      <c r="H10" s="3" t="n">
        <v>1</v>
      </c>
      <c r="I10" s="3" t="n">
        <v>1</v>
      </c>
      <c r="J10" s="3" t="n">
        <v>-1</v>
      </c>
      <c r="K10" s="3" t="n">
        <v>2</v>
      </c>
      <c r="S10" s="3" t="inlineStr">
        <is>
          <t>Energy-led reflation shock</t>
        </is>
      </c>
      <c r="T10" s="3" t="inlineStr">
        <is>
          <t>R</t>
        </is>
      </c>
      <c r="U10" s="3" t="inlineStr">
        <is>
          <t>Positioning crowded long on geopolitical premium</t>
        </is>
      </c>
      <c r="W10" s="3" t="inlineStr">
        <is>
          <t>STILL_OPEN</t>
        </is>
      </c>
      <c r="AE10" s="3" t="inlineStr">
        <is>
          <t>trade-rec-2026-04-14.md</t>
        </is>
      </c>
      <c r="AF10" s="3" t="inlineStr">
        <is>
          <t>Basis-momentum divergence cap fired Apr-15</t>
        </is>
      </c>
      <c r="AG10" t="inlineStr">
        <is>
          <t>n/a (pre-meta)</t>
        </is>
      </c>
      <c r="AH10" t="inlineStr">
        <is>
          <t>n/a (pre-meta)</t>
        </is>
      </c>
      <c r="AI10" t="inlineStr">
        <is>
          <t>n/a (pre-meta)</t>
        </is>
      </c>
      <c r="AJ10" t="inlineStr">
        <is>
          <t>n/a (pre-meta)</t>
        </is>
      </c>
    </row>
    <row r="11" ht="15" customHeight="1" s="15">
      <c r="A11" s="3" t="inlineStr">
        <is>
          <t>N007</t>
        </is>
      </c>
      <c r="B11" s="3" t="inlineStr">
        <is>
          <t>Near-Miss</t>
        </is>
      </c>
      <c r="C11" s="2" t="n">
        <v>46126</v>
      </c>
      <c r="D11" s="3" t="inlineStr">
        <is>
          <t>TSM</t>
        </is>
      </c>
      <c r="E11" s="3" t="inlineStr">
        <is>
          <t>Equities</t>
        </is>
      </c>
      <c r="F11" s="3" t="inlineStr">
        <is>
          <t>Long</t>
        </is>
      </c>
      <c r="G11" s="3" t="n">
        <v>1</v>
      </c>
      <c r="H11" s="3" t="n">
        <v>1</v>
      </c>
      <c r="I11" s="3" t="n">
        <v>1</v>
      </c>
      <c r="J11" s="3" t="n">
        <v>0</v>
      </c>
      <c r="K11" s="3" t="n">
        <v>3</v>
      </c>
      <c r="S11" s="3" t="inlineStr">
        <is>
          <t>Energy-led reflation shock</t>
        </is>
      </c>
      <c r="T11" s="3" t="inlineStr">
        <is>
          <t>fail-loud</t>
        </is>
      </c>
      <c r="U11" s="3" t="inlineStr">
        <is>
          <t>Residual momentum MISSING → PROMOTED to P002</t>
        </is>
      </c>
      <c r="W11" s="3" t="inlineStr">
        <is>
          <t>PROMOTED</t>
        </is>
      </c>
      <c r="AE11" s="3" t="inlineStr">
        <is>
          <t>trade-rec-2026-04-14.md</t>
        </is>
      </c>
      <c r="AF11" s="3" t="inlineStr">
        <is>
          <t>Graduated to P002 v2</t>
        </is>
      </c>
      <c r="AG11" t="inlineStr">
        <is>
          <t>n/a (pre-meta)</t>
        </is>
      </c>
      <c r="AH11" t="inlineStr">
        <is>
          <t>n/a (pre-meta)</t>
        </is>
      </c>
      <c r="AI11" t="inlineStr">
        <is>
          <t>n/a (pre-meta)</t>
        </is>
      </c>
      <c r="AJ11" t="inlineStr">
        <is>
          <t>n/a (pre-meta)</t>
        </is>
      </c>
    </row>
    <row r="12" ht="15" customHeight="1" s="15">
      <c r="A12" s="3" t="inlineStr">
        <is>
          <t>N008</t>
        </is>
      </c>
      <c r="B12" s="3" t="inlineStr">
        <is>
          <t>Near-Miss</t>
        </is>
      </c>
      <c r="C12" s="2" t="n">
        <v>46126</v>
      </c>
      <c r="D12" s="3" t="inlineStr">
        <is>
          <t>AMZN</t>
        </is>
      </c>
      <c r="E12" s="3" t="inlineStr">
        <is>
          <t>Equities</t>
        </is>
      </c>
      <c r="F12" s="3" t="inlineStr">
        <is>
          <t>Long</t>
        </is>
      </c>
      <c r="G12" s="3" t="n">
        <v>1</v>
      </c>
      <c r="H12" s="3" t="n">
        <v>-1</v>
      </c>
      <c r="I12" s="3" t="n">
        <v>1</v>
      </c>
      <c r="J12" s="3" t="n">
        <v>0</v>
      </c>
      <c r="K12" s="3" t="n">
        <v>1</v>
      </c>
      <c r="S12" s="3" t="inlineStr">
        <is>
          <t>Energy-led reflation shock</t>
        </is>
      </c>
      <c r="T12" s="3" t="inlineStr">
        <is>
          <t>T</t>
        </is>
      </c>
      <c r="U12" s="3" t="inlineStr">
        <is>
          <t>Residual -9.3% (T=-1)</t>
        </is>
      </c>
      <c r="W12" s="3" t="inlineStr">
        <is>
          <t>STILL_OPEN</t>
        </is>
      </c>
      <c r="AE12" s="3" t="inlineStr">
        <is>
          <t>trade-rec-2026-04-14.md</t>
        </is>
      </c>
      <c r="AF12" s="3" t="inlineStr">
        <is>
          <t>v2 DEMOTED from +2</t>
        </is>
      </c>
      <c r="AG12" t="inlineStr">
        <is>
          <t>n/a (pre-meta)</t>
        </is>
      </c>
      <c r="AH12" t="inlineStr">
        <is>
          <t>n/a (pre-meta)</t>
        </is>
      </c>
      <c r="AI12" t="inlineStr">
        <is>
          <t>n/a (pre-meta)</t>
        </is>
      </c>
      <c r="AJ12" t="inlineStr">
        <is>
          <t>n/a (pre-meta)</t>
        </is>
      </c>
    </row>
    <row r="13" ht="15" customHeight="1" s="15">
      <c r="A13" s="3" t="inlineStr">
        <is>
          <t>N009</t>
        </is>
      </c>
      <c r="B13" s="3" t="inlineStr">
        <is>
          <t>Near-Miss</t>
        </is>
      </c>
      <c r="C13" s="2" t="n">
        <v>46126</v>
      </c>
      <c r="D13" s="3" t="inlineStr">
        <is>
          <t>META</t>
        </is>
      </c>
      <c r="E13" s="3" t="inlineStr">
        <is>
          <t>Equities</t>
        </is>
      </c>
      <c r="F13" s="3" t="inlineStr">
        <is>
          <t>Long</t>
        </is>
      </c>
      <c r="G13" s="3" t="n">
        <v>1</v>
      </c>
      <c r="H13" s="3" t="n">
        <v>-1</v>
      </c>
      <c r="I13" s="3" t="n">
        <v>1</v>
      </c>
      <c r="J13" s="3" t="n">
        <v>0</v>
      </c>
      <c r="K13" s="3" t="n">
        <v>1</v>
      </c>
      <c r="S13" s="3" t="inlineStr">
        <is>
          <t>Energy-led reflation shock</t>
        </is>
      </c>
      <c r="T13" s="3" t="inlineStr">
        <is>
          <t>T</t>
        </is>
      </c>
      <c r="U13" s="3" t="inlineStr">
        <is>
          <t>Residual -12.1% (T=-1)</t>
        </is>
      </c>
      <c r="W13" s="3" t="inlineStr">
        <is>
          <t>STILL_OPEN</t>
        </is>
      </c>
      <c r="AE13" s="3" t="inlineStr">
        <is>
          <t>trade-rec-2026-04-14.md</t>
        </is>
      </c>
      <c r="AF13" s="3" t="inlineStr">
        <is>
          <t>v2 DEMOTED from +2</t>
        </is>
      </c>
      <c r="AG13" t="inlineStr">
        <is>
          <t>n/a (pre-meta)</t>
        </is>
      </c>
      <c r="AH13" t="inlineStr">
        <is>
          <t>n/a (pre-meta)</t>
        </is>
      </c>
      <c r="AI13" t="inlineStr">
        <is>
          <t>n/a (pre-meta)</t>
        </is>
      </c>
      <c r="AJ13" t="inlineStr">
        <is>
          <t>n/a (pre-meta)</t>
        </is>
      </c>
    </row>
    <row r="14" ht="15" customHeight="1" s="15">
      <c r="A14" s="3" t="inlineStr">
        <is>
          <t>N010</t>
        </is>
      </c>
      <c r="B14" s="3" t="inlineStr">
        <is>
          <t>Near-Miss</t>
        </is>
      </c>
      <c r="C14" s="2" t="n">
        <v>46127</v>
      </c>
      <c r="D14" s="3" t="inlineStr">
        <is>
          <t>Gold</t>
        </is>
      </c>
      <c r="E14" s="3" t="inlineStr">
        <is>
          <t>Commodities</t>
        </is>
      </c>
      <c r="F14" s="3" t="inlineStr">
        <is>
          <t>Long</t>
        </is>
      </c>
      <c r="G14" s="3" t="n">
        <v>1</v>
      </c>
      <c r="H14" s="3" t="n">
        <v>1</v>
      </c>
      <c r="I14" s="3" t="n">
        <v>0</v>
      </c>
      <c r="J14" s="3" t="n">
        <v>0</v>
      </c>
      <c r="K14" s="3" t="n">
        <v>2</v>
      </c>
      <c r="R14" s="3" t="n">
        <v>18.36</v>
      </c>
      <c r="S14" s="3" t="inlineStr">
        <is>
          <t>Post-shock cautious risk-on</t>
        </is>
      </c>
      <c r="T14" s="3" t="inlineStr">
        <is>
          <t>C</t>
        </is>
      </c>
      <c r="U14" s="3" t="inlineStr">
        <is>
          <t>No near-term surprise catalyst</t>
        </is>
      </c>
      <c r="W14" s="3" t="inlineStr">
        <is>
          <t>OPEN</t>
        </is>
      </c>
      <c r="AE14" s="3" t="inlineStr">
        <is>
          <t>trade-rec-2026-04-15.md v3</t>
        </is>
      </c>
      <c r="AF14" s="3" t="inlineStr">
        <is>
          <t>Trigger: DXY &lt;97.5 or VIX spike</t>
        </is>
      </c>
      <c r="AG14" t="inlineStr">
        <is>
          <t>n/a (pre-meta)</t>
        </is>
      </c>
      <c r="AH14" t="inlineStr">
        <is>
          <t>n/a (pre-meta)</t>
        </is>
      </c>
      <c r="AI14" t="inlineStr">
        <is>
          <t>n/a (pre-meta)</t>
        </is>
      </c>
      <c r="AJ14" t="inlineStr">
        <is>
          <t>n/a (pre-meta)</t>
        </is>
      </c>
    </row>
    <row r="15" ht="15" customHeight="1" s="15">
      <c r="A15" s="3" t="inlineStr">
        <is>
          <t>N011</t>
        </is>
      </c>
      <c r="B15" s="3" t="inlineStr">
        <is>
          <t>Near-Miss</t>
        </is>
      </c>
      <c r="C15" s="2" t="n">
        <v>46127</v>
      </c>
      <c r="D15" s="3" t="inlineStr">
        <is>
          <t>Silver</t>
        </is>
      </c>
      <c r="E15" s="3" t="inlineStr">
        <is>
          <t>Commodities</t>
        </is>
      </c>
      <c r="F15" s="3" t="inlineStr">
        <is>
          <t>Long</t>
        </is>
      </c>
      <c r="G15" s="3" t="n">
        <v>1</v>
      </c>
      <c r="H15" s="3" t="n">
        <v>1</v>
      </c>
      <c r="I15" s="3" t="n">
        <v>0</v>
      </c>
      <c r="J15" s="3" t="n">
        <v>0</v>
      </c>
      <c r="K15" s="3" t="n">
        <v>2</v>
      </c>
      <c r="R15" s="3" t="n">
        <v>18.36</v>
      </c>
      <c r="S15" s="3" t="inlineStr">
        <is>
          <t>Post-shock cautious risk-on</t>
        </is>
      </c>
      <c r="T15" s="3" t="inlineStr">
        <is>
          <t>C</t>
        </is>
      </c>
      <c r="U15" s="3" t="inlineStr">
        <is>
          <t>No catalyst beyond gold sympathy</t>
        </is>
      </c>
      <c r="W15" s="3" t="inlineStr">
        <is>
          <t>OPEN</t>
        </is>
      </c>
      <c r="AE15" s="3" t="inlineStr">
        <is>
          <t>trade-rec-2026-04-15.md v3</t>
        </is>
      </c>
      <c r="AF15" s="3" t="inlineStr">
        <is>
          <t>Breakout holding $79.67</t>
        </is>
      </c>
      <c r="AG15" t="inlineStr">
        <is>
          <t>n/a (pre-meta)</t>
        </is>
      </c>
      <c r="AH15" t="inlineStr">
        <is>
          <t>n/a (pre-meta)</t>
        </is>
      </c>
      <c r="AI15" t="inlineStr">
        <is>
          <t>n/a (pre-meta)</t>
        </is>
      </c>
      <c r="AJ15" t="inlineStr">
        <is>
          <t>n/a (pre-meta)</t>
        </is>
      </c>
    </row>
    <row r="16" ht="15" customHeight="1" s="15">
      <c r="A16" s="3" t="inlineStr">
        <is>
          <t>N012</t>
        </is>
      </c>
      <c r="B16" s="3" t="inlineStr">
        <is>
          <t>Near-Miss</t>
        </is>
      </c>
      <c r="C16" s="2" t="n">
        <v>46127</v>
      </c>
      <c r="D16" s="3" t="inlineStr">
        <is>
          <t>Brent</t>
        </is>
      </c>
      <c r="E16" s="3" t="inlineStr">
        <is>
          <t>Commodities</t>
        </is>
      </c>
      <c r="F16" s="3" t="inlineStr">
        <is>
          <t>Long</t>
        </is>
      </c>
      <c r="G16" s="3" t="n">
        <v>1</v>
      </c>
      <c r="H16" s="3" t="n">
        <v>1</v>
      </c>
      <c r="I16" s="3" t="n">
        <v>-1</v>
      </c>
      <c r="J16" s="3" t="n">
        <v>0</v>
      </c>
      <c r="K16" s="3" t="n">
        <v>1</v>
      </c>
      <c r="R16" s="3" t="n">
        <v>18.36</v>
      </c>
      <c r="S16" s="3" t="inlineStr">
        <is>
          <t>Post-shock cautious risk-on</t>
        </is>
      </c>
      <c r="T16" s="3" t="inlineStr">
        <is>
          <t>C</t>
        </is>
      </c>
      <c r="U16" s="3" t="inlineStr">
        <is>
          <t>Iran ceasefire Apr-21 hostile catalyst</t>
        </is>
      </c>
      <c r="W16" s="3" t="inlineStr">
        <is>
          <t>OPEN</t>
        </is>
      </c>
      <c r="AE16" s="3" t="inlineStr">
        <is>
          <t>trade-rec-2026-04-15.md v3</t>
        </is>
      </c>
      <c r="AF16" s="3" t="inlineStr">
        <is>
          <t>Binary on Iran talks collapse</t>
        </is>
      </c>
      <c r="AG16" t="inlineStr">
        <is>
          <t>n/a (pre-meta)</t>
        </is>
      </c>
      <c r="AH16" t="inlineStr">
        <is>
          <t>n/a (pre-meta)</t>
        </is>
      </c>
      <c r="AI16" t="inlineStr">
        <is>
          <t>n/a (pre-meta)</t>
        </is>
      </c>
      <c r="AJ16" t="inlineStr">
        <is>
          <t>n/a (pre-meta)</t>
        </is>
      </c>
    </row>
    <row r="17" ht="15" customHeight="1" s="15">
      <c r="A17" s="3" t="inlineStr">
        <is>
          <t>N013</t>
        </is>
      </c>
      <c r="B17" s="3" t="inlineStr">
        <is>
          <t>Near-Miss</t>
        </is>
      </c>
      <c r="C17" s="2" t="n">
        <v>46127</v>
      </c>
      <c r="D17" s="3" t="inlineStr">
        <is>
          <t>WDC</t>
        </is>
      </c>
      <c r="E17" s="3" t="inlineStr">
        <is>
          <t>Equities</t>
        </is>
      </c>
      <c r="F17" s="3" t="inlineStr">
        <is>
          <t>Long</t>
        </is>
      </c>
      <c r="G17" s="3" t="n">
        <v>1</v>
      </c>
      <c r="H17" s="3" t="n">
        <v>1</v>
      </c>
      <c r="I17" s="3" t="n">
        <v>0</v>
      </c>
      <c r="J17" s="3" t="n">
        <v>0</v>
      </c>
      <c r="K17" s="3" t="n">
        <v>2</v>
      </c>
      <c r="R17" s="3" t="n">
        <v>18.36</v>
      </c>
      <c r="S17" s="3" t="inlineStr">
        <is>
          <t>Post-shock cautious risk-on</t>
        </is>
      </c>
      <c r="T17" s="3" t="inlineStr">
        <is>
          <t>C</t>
        </is>
      </c>
      <c r="U17" s="3" t="inlineStr">
        <is>
          <t>No fresh catalyst</t>
        </is>
      </c>
      <c r="W17" s="3" t="inlineStr">
        <is>
          <t>OPEN</t>
        </is>
      </c>
      <c r="AE17" s="3" t="inlineStr">
        <is>
          <t>trade-rec-2026-04-15.md v3</t>
        </is>
      </c>
      <c r="AF17" s="3" t="inlineStr">
        <is>
          <t>Residual +20.62% T=+1</t>
        </is>
      </c>
      <c r="AG17" t="inlineStr">
        <is>
          <t>n/a (pre-meta)</t>
        </is>
      </c>
      <c r="AH17" t="inlineStr">
        <is>
          <t>n/a (pre-meta)</t>
        </is>
      </c>
      <c r="AI17" t="inlineStr">
        <is>
          <t>n/a (pre-meta)</t>
        </is>
      </c>
      <c r="AJ17" t="inlineStr">
        <is>
          <t>n/a (pre-meta)</t>
        </is>
      </c>
    </row>
    <row r="18" ht="15" customHeight="1" s="15">
      <c r="A18" s="3" t="inlineStr">
        <is>
          <t>N014</t>
        </is>
      </c>
      <c r="B18" s="3" t="inlineStr">
        <is>
          <t>Near-Miss</t>
        </is>
      </c>
      <c r="C18" s="2" t="n">
        <v>46127</v>
      </c>
      <c r="D18" s="3" t="inlineStr">
        <is>
          <t>TSM</t>
        </is>
      </c>
      <c r="E18" s="3" t="inlineStr">
        <is>
          <t>Equities</t>
        </is>
      </c>
      <c r="F18" s="3" t="inlineStr">
        <is>
          <t>Long</t>
        </is>
      </c>
      <c r="G18" s="3" t="n">
        <v>1</v>
      </c>
      <c r="H18" s="3" t="n">
        <v>-1</v>
      </c>
      <c r="I18" s="3" t="n">
        <v>1</v>
      </c>
      <c r="J18" s="3" t="n">
        <v>0</v>
      </c>
      <c r="K18" s="3" t="n">
        <v>1</v>
      </c>
      <c r="R18" s="3" t="n">
        <v>18.36</v>
      </c>
      <c r="S18" s="3" t="inlineStr">
        <is>
          <t>Post-shock cautious risk-on</t>
        </is>
      </c>
      <c r="T18" s="3" t="inlineStr">
        <is>
          <t>T</t>
        </is>
      </c>
      <c r="U18" s="3" t="inlineStr">
        <is>
          <t>Residual -19.78% (T=-1)</t>
        </is>
      </c>
      <c r="W18" s="3" t="inlineStr">
        <is>
          <t>OPEN</t>
        </is>
      </c>
      <c r="AE18" s="3" t="inlineStr">
        <is>
          <t>trade-rec-2026-04-15.md v3</t>
        </is>
      </c>
      <c r="AF18" s="3" t="inlineStr">
        <is>
          <t>v3 de-promotion from P002</t>
        </is>
      </c>
      <c r="AG18" t="inlineStr">
        <is>
          <t>n/a (pre-meta)</t>
        </is>
      </c>
      <c r="AH18" t="inlineStr">
        <is>
          <t>n/a (pre-meta)</t>
        </is>
      </c>
      <c r="AI18" t="inlineStr">
        <is>
          <t>n/a (pre-meta)</t>
        </is>
      </c>
      <c r="AJ18" t="inlineStr">
        <is>
          <t>n/a (pre-meta)</t>
        </is>
      </c>
    </row>
    <row r="19">
      <c r="A19" t="inlineStr">
        <is>
          <t>N015</t>
        </is>
      </c>
      <c r="B19" t="inlineStr">
        <is>
          <t>Near-Miss</t>
        </is>
      </c>
      <c r="C19" s="12" t="n">
        <v>46128</v>
      </c>
      <c r="D19" t="inlineStr">
        <is>
          <t>Copper</t>
        </is>
      </c>
      <c r="E19" t="inlineStr">
        <is>
          <t>Commodities</t>
        </is>
      </c>
      <c r="F19" t="inlineStr">
        <is>
          <t>Long</t>
        </is>
      </c>
      <c r="G19" t="n">
        <v>1</v>
      </c>
      <c r="H19" t="n">
        <v>1</v>
      </c>
      <c r="I19" t="n">
        <v>0</v>
      </c>
      <c r="J19" t="n">
        <v>0</v>
      </c>
      <c r="K19" t="n">
        <v>2</v>
      </c>
      <c r="R19" t="n">
        <v>18.17</v>
      </c>
      <c r="S19" t="inlineStr">
        <is>
          <t>Post-shock cautious risk-on, accelerating but narrowing</t>
        </is>
      </c>
      <c r="T19" t="inlineStr">
        <is>
          <t>C</t>
        </is>
      </c>
      <c r="U19" t="inlineStr">
        <is>
          <t>No catalyst (need China PMI &gt;50.5)</t>
        </is>
      </c>
      <c r="W19" t="inlineStr">
        <is>
          <t>OPEN</t>
        </is>
      </c>
      <c r="AE19" t="inlineStr">
        <is>
          <t>trade-rec-2026-04-16.md v2</t>
        </is>
      </c>
      <c r="AF19" t="inlineStr">
        <is>
          <t>Unchanged from prior</t>
        </is>
      </c>
      <c r="AG19" t="inlineStr">
        <is>
          <t>n/a (pre-meta)</t>
        </is>
      </c>
      <c r="AH19" t="inlineStr">
        <is>
          <t>n/a (pre-meta)</t>
        </is>
      </c>
      <c r="AI19" t="inlineStr">
        <is>
          <t>n/a (pre-meta)</t>
        </is>
      </c>
      <c r="AJ19" t="inlineStr">
        <is>
          <t>n/a (pre-meta)</t>
        </is>
      </c>
    </row>
    <row r="20">
      <c r="A20" t="inlineStr">
        <is>
          <t>N016</t>
        </is>
      </c>
      <c r="B20" t="inlineStr">
        <is>
          <t>Near-Miss</t>
        </is>
      </c>
      <c r="C20" s="12" t="n">
        <v>46128</v>
      </c>
      <c r="D20" t="inlineStr">
        <is>
          <t>Brent</t>
        </is>
      </c>
      <c r="E20" t="inlineStr">
        <is>
          <t>Commodities</t>
        </is>
      </c>
      <c r="F20" t="inlineStr">
        <is>
          <t>Long</t>
        </is>
      </c>
      <c r="G20" t="n">
        <v>1</v>
      </c>
      <c r="H20" t="n">
        <v>1</v>
      </c>
      <c r="I20" t="n">
        <v>-1</v>
      </c>
      <c r="J20" t="n">
        <v>1</v>
      </c>
      <c r="K20" t="n">
        <v>2</v>
      </c>
      <c r="R20" t="n">
        <v>18.17</v>
      </c>
      <c r="S20" t="inlineStr">
        <is>
          <t>Post-shock cautious risk-on, accelerating but narrowing</t>
        </is>
      </c>
      <c r="T20" t="inlineStr">
        <is>
          <t>C</t>
        </is>
      </c>
      <c r="U20" t="inlineStr">
        <is>
          <t>Iran ceasefire hostile catalyst; extension in principle</t>
        </is>
      </c>
      <c r="W20" t="inlineStr">
        <is>
          <t>OPEN</t>
        </is>
      </c>
      <c r="AE20" t="inlineStr">
        <is>
          <t>trade-rec-2026-04-16.md v2</t>
        </is>
      </c>
      <c r="AF20" t="inlineStr">
        <is>
          <t>Binary on Apr-21; failed to rally on bullish EIA</t>
        </is>
      </c>
      <c r="AG20" t="inlineStr">
        <is>
          <t>n/a (pre-meta)</t>
        </is>
      </c>
      <c r="AH20" t="inlineStr">
        <is>
          <t>n/a (pre-meta)</t>
        </is>
      </c>
      <c r="AI20" t="inlineStr">
        <is>
          <t>n/a (pre-meta)</t>
        </is>
      </c>
      <c r="AJ20" t="inlineStr">
        <is>
          <t>n/a (pre-meta)</t>
        </is>
      </c>
    </row>
    <row r="21">
      <c r="A21" t="inlineStr">
        <is>
          <t>N017</t>
        </is>
      </c>
      <c r="B21" t="inlineStr">
        <is>
          <t>Near-Miss</t>
        </is>
      </c>
      <c r="C21" s="12" t="n">
        <v>46128</v>
      </c>
      <c r="D21" t="inlineStr">
        <is>
          <t>TSM</t>
        </is>
      </c>
      <c r="E21" t="inlineStr">
        <is>
          <t>Equities</t>
        </is>
      </c>
      <c r="F21" t="inlineStr">
        <is>
          <t>Long</t>
        </is>
      </c>
      <c r="G21" t="n">
        <v>1</v>
      </c>
      <c r="H21" t="n">
        <v>-1</v>
      </c>
      <c r="I21" t="n">
        <v>0</v>
      </c>
      <c r="J21" t="n">
        <v>0</v>
      </c>
      <c r="K21" t="n">
        <v>0</v>
      </c>
      <c r="R21" t="n">
        <v>18.17</v>
      </c>
      <c r="S21" t="inlineStr">
        <is>
          <t>Post-shock cautious risk-on, accelerating but narrowing</t>
        </is>
      </c>
      <c r="T21" t="inlineStr">
        <is>
          <t>T</t>
        </is>
      </c>
      <c r="U21" t="inlineStr">
        <is>
          <t>Residual -19.78% (T=-1); post-catalyst C=0</t>
        </is>
      </c>
      <c r="W21" t="inlineStr">
        <is>
          <t>OPEN</t>
        </is>
      </c>
      <c r="AE21" t="inlineStr">
        <is>
          <t>trade-rec-2026-04-16.md v2</t>
        </is>
      </c>
      <c r="AF21" t="inlineStr">
        <is>
          <t>Q1 beat but T-block persists</t>
        </is>
      </c>
      <c r="AG21" t="inlineStr">
        <is>
          <t>n/a (pre-meta)</t>
        </is>
      </c>
      <c r="AH21" t="inlineStr">
        <is>
          <t>n/a (pre-meta)</t>
        </is>
      </c>
      <c r="AI21" t="inlineStr">
        <is>
          <t>n/a (pre-meta)</t>
        </is>
      </c>
      <c r="AJ21" t="inlineStr">
        <is>
          <t>n/a (pre-meta)</t>
        </is>
      </c>
    </row>
    <row r="22">
      <c r="A22" t="inlineStr">
        <is>
          <t>P004</t>
        </is>
      </c>
      <c r="B22" t="inlineStr">
        <is>
          <t>Promoted</t>
        </is>
      </c>
      <c r="C22" s="12" t="n">
        <v>46128</v>
      </c>
      <c r="D22" t="inlineStr">
        <is>
          <t>Gold</t>
        </is>
      </c>
      <c r="E22" t="inlineStr">
        <is>
          <t>Commodities</t>
        </is>
      </c>
      <c r="F22" t="inlineStr">
        <is>
          <t>Long</t>
        </is>
      </c>
      <c r="G22" t="n">
        <v>1</v>
      </c>
      <c r="H22" t="n">
        <v>1</v>
      </c>
      <c r="I22" t="n">
        <v>1</v>
      </c>
      <c r="J22" t="n">
        <v>0</v>
      </c>
      <c r="K22" t="n">
        <v>3</v>
      </c>
      <c r="L22" t="n">
        <v>4840</v>
      </c>
      <c r="M22" t="n">
        <v>4640</v>
      </c>
      <c r="N22" t="n">
        <v>4990</v>
      </c>
      <c r="O22" t="n">
        <v>5140</v>
      </c>
      <c r="P22" t="inlineStr">
        <is>
          <t>DXY &gt;100; DFII10 &gt;2.2%; Gold &lt;$4,640</t>
        </is>
      </c>
      <c r="Q22" s="12" t="n">
        <v>46156</v>
      </c>
      <c r="R22" t="n">
        <v>18.19</v>
      </c>
      <c r="S22" t="inlineStr">
        <is>
          <t>Broad risk-on</t>
        </is>
      </c>
      <c r="V22" t="inlineStr">
        <is>
          <t>YES</t>
        </is>
      </c>
      <c r="W22" t="inlineStr">
        <is>
          <t>HIT_TARGET</t>
        </is>
      </c>
      <c r="X22" t="n">
        <v>4823.65</v>
      </c>
      <c r="Y22" s="12" t="n">
        <v>46130</v>
      </c>
      <c r="Z22" t="n">
        <v>2</v>
      </c>
      <c r="AC22" t="inlineStr">
        <is>
          <t>EXITED_PRE_CATALYST</t>
        </is>
      </c>
      <c r="AD22" t="n">
        <v>0.9</v>
      </c>
      <c r="AE22" t="inlineStr">
        <is>
          <t>trade-rec-2026-04-16.md v2</t>
        </is>
      </c>
      <c r="AF22" t="inlineStr">
        <is>
          <t>Closed 2026-04-18 17:12 UTC+8 before Apr-22 ceasefire binary. DXY + real-yield thesis intact at exit.</t>
        </is>
      </c>
      <c r="AG22" t="inlineStr">
        <is>
          <t>n/a (pre-meta)</t>
        </is>
      </c>
      <c r="AH22" t="inlineStr">
        <is>
          <t>n/a (pre-meta)</t>
        </is>
      </c>
      <c r="AI22" t="inlineStr">
        <is>
          <t>n/a (pre-meta)</t>
        </is>
      </c>
      <c r="AJ22" t="inlineStr">
        <is>
          <t>n/a (pre-meta)</t>
        </is>
      </c>
    </row>
    <row r="23">
      <c r="A23" t="inlineStr">
        <is>
          <t>N018</t>
        </is>
      </c>
      <c r="B23" t="inlineStr">
        <is>
          <t>Near-Miss</t>
        </is>
      </c>
      <c r="C23" s="12" t="n">
        <v>46128</v>
      </c>
      <c r="D23" t="inlineStr">
        <is>
          <t>SPY</t>
        </is>
      </c>
      <c r="E23" t="inlineStr">
        <is>
          <t>ETFs/Indices</t>
        </is>
      </c>
      <c r="F23" t="inlineStr">
        <is>
          <t>Long</t>
        </is>
      </c>
      <c r="G23" t="n">
        <v>1</v>
      </c>
      <c r="H23" t="n">
        <v>1</v>
      </c>
      <c r="I23" t="n">
        <v>0</v>
      </c>
      <c r="J23" t="n">
        <v>1</v>
      </c>
      <c r="K23" t="n">
        <v>3</v>
      </c>
      <c r="R23" t="n">
        <v>18.19</v>
      </c>
      <c r="S23" t="inlineStr">
        <is>
          <t>Broad risk-on</t>
        </is>
      </c>
      <c r="T23" t="inlineStr">
        <is>
          <t>Correlation</t>
        </is>
      </c>
      <c r="U23" t="inlineStr">
        <is>
          <t>Correlation gate with EWY/INTC; C=0 no catalyst; dominated by QQQ</t>
        </is>
      </c>
      <c r="W23" t="inlineStr">
        <is>
          <t>OPEN</t>
        </is>
      </c>
      <c r="AE23" t="inlineStr">
        <is>
          <t>trade-rec-2026-04-16.md v2</t>
        </is>
      </c>
      <c r="AF23" t="inlineStr">
        <is>
          <t>Sum +3 but not promoted. FOMC Apr-28 risk.</t>
        </is>
      </c>
      <c r="AG23" t="inlineStr">
        <is>
          <t>n/a (pre-meta)</t>
        </is>
      </c>
      <c r="AH23" t="inlineStr">
        <is>
          <t>n/a (pre-meta)</t>
        </is>
      </c>
      <c r="AI23" t="inlineStr">
        <is>
          <t>n/a (pre-meta)</t>
        </is>
      </c>
      <c r="AJ23" t="inlineStr">
        <is>
          <t>n/a (pre-meta)</t>
        </is>
      </c>
    </row>
    <row r="24">
      <c r="A24" t="inlineStr">
        <is>
          <t>N019</t>
        </is>
      </c>
      <c r="B24" t="inlineStr">
        <is>
          <t>Near-Miss</t>
        </is>
      </c>
      <c r="C24" s="12" t="n">
        <v>46128</v>
      </c>
      <c r="D24" t="inlineStr">
        <is>
          <t>QQQ</t>
        </is>
      </c>
      <c r="E24" t="inlineStr">
        <is>
          <t>ETFs/Indices</t>
        </is>
      </c>
      <c r="F24" t="inlineStr">
        <is>
          <t>Long</t>
        </is>
      </c>
      <c r="G24" t="n">
        <v>1</v>
      </c>
      <c r="H24" t="n">
        <v>1</v>
      </c>
      <c r="I24" t="n">
        <v>1</v>
      </c>
      <c r="J24" t="n">
        <v>1</v>
      </c>
      <c r="K24" t="n">
        <v>4</v>
      </c>
      <c r="R24" t="n">
        <v>18.19</v>
      </c>
      <c r="S24" t="inlineStr">
        <is>
          <t>Broad risk-on</t>
        </is>
      </c>
      <c r="T24" t="inlineStr">
        <is>
          <t>Correlation</t>
        </is>
      </c>
      <c r="U24" t="inlineStr">
        <is>
          <t>Correlation gate with EWY/INTC; FOMC Apr-28 risk; deferred to Gerald</t>
        </is>
      </c>
      <c r="W24" t="inlineStr">
        <is>
          <t>OPEN</t>
        </is>
      </c>
      <c r="AE24" t="inlineStr">
        <is>
          <t>trade-rec-2026-04-16.md v2</t>
        </is>
      </c>
      <c r="AF24" t="inlineStr">
        <is>
          <t>Strongest signal (Sum +4). Flagged for Gerald evaluation. | Superseded by P005 promoted ad-hoc 2026-04-17 after overnight gap-test cleared. Status unchanged per protocol — signal-review still marks to market; cross-link prevents double-count.</t>
        </is>
      </c>
      <c r="AG24" t="inlineStr">
        <is>
          <t>n/a (pre-meta)</t>
        </is>
      </c>
      <c r="AH24" t="inlineStr">
        <is>
          <t>n/a (pre-meta)</t>
        </is>
      </c>
      <c r="AI24" t="inlineStr">
        <is>
          <t>n/a (pre-meta)</t>
        </is>
      </c>
      <c r="AJ24" t="inlineStr">
        <is>
          <t>n/a (pre-meta)</t>
        </is>
      </c>
    </row>
    <row r="25">
      <c r="A25" t="inlineStr">
        <is>
          <t>N020</t>
        </is>
      </c>
      <c r="B25" t="inlineStr">
        <is>
          <t>Near-Miss</t>
        </is>
      </c>
      <c r="C25" s="12" t="n">
        <v>46128</v>
      </c>
      <c r="D25" t="inlineStr">
        <is>
          <t>GOOGL</t>
        </is>
      </c>
      <c r="E25" t="inlineStr">
        <is>
          <t>Equities</t>
        </is>
      </c>
      <c r="F25" t="inlineStr">
        <is>
          <t>Long</t>
        </is>
      </c>
      <c r="G25" t="n">
        <v>1</v>
      </c>
      <c r="H25" t="n">
        <v>1</v>
      </c>
      <c r="I25" t="n">
        <v>1</v>
      </c>
      <c r="J25" t="n">
        <v>0</v>
      </c>
      <c r="K25" t="n">
        <v>3</v>
      </c>
      <c r="P25" t="inlineStr">
        <is>
          <t>Earnings miss; trend break; DXY &gt;100</t>
        </is>
      </c>
      <c r="Q25" s="12" t="n">
        <v>46156</v>
      </c>
      <c r="R25" t="n">
        <v>18.19</v>
      </c>
      <c r="S25" t="inlineStr">
        <is>
          <t>Broad risk-on — equity records, vol compression, DXY sub-99. Iran binary Apr-21.</t>
        </is>
      </c>
      <c r="T25" t="inlineStr">
        <is>
          <t>Correlation</t>
        </is>
      </c>
      <c r="U25" t="inlineStr">
        <is>
          <t>Corr gate cautionary with EWY/INTC; deferred to Gerald; +6.01% rally raises bar</t>
        </is>
      </c>
      <c r="W25" t="inlineStr">
        <is>
          <t>OPEN</t>
        </is>
      </c>
      <c r="AE25" t="inlineStr">
        <is>
          <t>trade-rec-2026-04-16.md v3</t>
        </is>
      </c>
      <c r="AF25" t="inlineStr">
        <is>
          <t>NEW v3 — T unblocked by residual +30.52% (audit staging). Sum +3. Flagged for Gerald. Earnings Apr-22.</t>
        </is>
      </c>
      <c r="AG25" t="inlineStr">
        <is>
          <t>n/a (pre-meta)</t>
        </is>
      </c>
      <c r="AH25" t="inlineStr">
        <is>
          <t>n/a (pre-meta)</t>
        </is>
      </c>
      <c r="AI25" t="inlineStr">
        <is>
          <t>n/a (pre-meta)</t>
        </is>
      </c>
      <c r="AJ25" t="inlineStr">
        <is>
          <t>n/a (pre-meta)</t>
        </is>
      </c>
    </row>
    <row r="26">
      <c r="A26" t="inlineStr">
        <is>
          <t>N021</t>
        </is>
      </c>
      <c r="B26" t="inlineStr">
        <is>
          <t>Near-Miss</t>
        </is>
      </c>
      <c r="C26" s="12" t="n">
        <v>46128</v>
      </c>
      <c r="D26" t="inlineStr">
        <is>
          <t>TSM</t>
        </is>
      </c>
      <c r="E26" t="inlineStr">
        <is>
          <t>Equities</t>
        </is>
      </c>
      <c r="F26" t="inlineStr">
        <is>
          <t>Long</t>
        </is>
      </c>
      <c r="G26" t="n">
        <v>1</v>
      </c>
      <c r="H26" t="n">
        <v>1</v>
      </c>
      <c r="I26" t="n">
        <v>0</v>
      </c>
      <c r="J26" t="n">
        <v>0</v>
      </c>
      <c r="K26" t="n">
        <v>2</v>
      </c>
      <c r="P26" t="inlineStr">
        <is>
          <t>Earnings miss Q2; KOSPI &lt;5800</t>
        </is>
      </c>
      <c r="Q26" s="12" t="n">
        <v>46156</v>
      </c>
      <c r="R26" t="n">
        <v>18.19</v>
      </c>
      <c r="S26" t="inlineStr">
        <is>
          <t>Broad risk-on — equity records, vol compression, DXY sub-99. Iran binary Apr-21.</t>
        </is>
      </c>
      <c r="T26" t="inlineStr">
        <is>
          <t>C</t>
        </is>
      </c>
      <c r="U26" t="inlineStr">
        <is>
          <t>Post-catalyst C=0 (Q1 beat consumed). T flipped -1 to +1 (residual +21.59%)</t>
        </is>
      </c>
      <c r="W26" t="inlineStr">
        <is>
          <t>OPEN</t>
        </is>
      </c>
      <c r="AE26" t="inlineStr">
        <is>
          <t>trade-rec-2026-04-16.md v3</t>
        </is>
      </c>
      <c r="AF26" t="inlineStr">
        <is>
          <t>Score change from N017. T upgraded -1→+1 via residual momentum (audit-addition). Sum 0→+2.</t>
        </is>
      </c>
      <c r="AG26" t="inlineStr">
        <is>
          <t>n/a (pre-meta)</t>
        </is>
      </c>
      <c r="AH26" t="inlineStr">
        <is>
          <t>n/a (pre-meta)</t>
        </is>
      </c>
      <c r="AI26" t="inlineStr">
        <is>
          <t>n/a (pre-meta)</t>
        </is>
      </c>
      <c r="AJ26" t="inlineStr">
        <is>
          <t>n/a (pre-meta)</t>
        </is>
      </c>
    </row>
    <row r="27">
      <c r="A27" t="inlineStr">
        <is>
          <t>N022</t>
        </is>
      </c>
      <c r="B27" t="inlineStr">
        <is>
          <t>Near-Miss</t>
        </is>
      </c>
      <c r="C27" s="12" t="n">
        <v>46128</v>
      </c>
      <c r="D27" t="inlineStr">
        <is>
          <t>NVDA</t>
        </is>
      </c>
      <c r="E27" t="inlineStr">
        <is>
          <t>Equities</t>
        </is>
      </c>
      <c r="F27" t="inlineStr">
        <is>
          <t>Long</t>
        </is>
      </c>
      <c r="G27" t="n">
        <v>1</v>
      </c>
      <c r="H27" t="n">
        <v>1</v>
      </c>
      <c r="I27" t="n">
        <v>0</v>
      </c>
      <c r="J27" t="n">
        <v>0</v>
      </c>
      <c r="K27" t="n">
        <v>2</v>
      </c>
      <c r="P27" t="inlineStr">
        <is>
          <t>Trend break; no catalyst</t>
        </is>
      </c>
      <c r="Q27" s="12" t="n">
        <v>46156</v>
      </c>
      <c r="R27" t="n">
        <v>18.19</v>
      </c>
      <c r="S27" t="inlineStr">
        <is>
          <t>Broad risk-on — equity records, vol compression, DXY sub-99. Iran binary Apr-21.</t>
        </is>
      </c>
      <c r="T27" t="inlineStr">
        <is>
          <t>C</t>
        </is>
      </c>
      <c r="U27" t="inlineStr">
        <is>
          <t>No near-term catalyst. Residual +7.18% (weakest T=+1)</t>
        </is>
      </c>
      <c r="W27" t="inlineStr">
        <is>
          <t>OPEN</t>
        </is>
      </c>
      <c r="AE27" t="inlineStr">
        <is>
          <t>trade-rec-2026-04-16.md v3</t>
        </is>
      </c>
      <c r="AF27" t="inlineStr">
        <is>
          <t>NEW v3 — T unblocked by residual +7.18%. Weak T=+1; could flip.</t>
        </is>
      </c>
      <c r="AG27" t="inlineStr">
        <is>
          <t>n/a (pre-meta)</t>
        </is>
      </c>
      <c r="AH27" t="inlineStr">
        <is>
          <t>n/a (pre-meta)</t>
        </is>
      </c>
      <c r="AI27" t="inlineStr">
        <is>
          <t>n/a (pre-meta)</t>
        </is>
      </c>
      <c r="AJ27" t="inlineStr">
        <is>
          <t>n/a (pre-meta)</t>
        </is>
      </c>
    </row>
    <row r="28">
      <c r="A28" t="inlineStr">
        <is>
          <t>N023</t>
        </is>
      </c>
      <c r="B28" t="inlineStr">
        <is>
          <t>Near-Miss</t>
        </is>
      </c>
      <c r="C28" s="12" t="n">
        <v>46128</v>
      </c>
      <c r="D28" t="inlineStr">
        <is>
          <t>MU</t>
        </is>
      </c>
      <c r="E28" t="inlineStr">
        <is>
          <t>Equities</t>
        </is>
      </c>
      <c r="F28" t="inlineStr">
        <is>
          <t>Long</t>
        </is>
      </c>
      <c r="G28" t="n">
        <v>1</v>
      </c>
      <c r="H28" t="n">
        <v>1</v>
      </c>
      <c r="I28" t="n">
        <v>0</v>
      </c>
      <c r="J28" t="n">
        <v>0</v>
      </c>
      <c r="K28" t="n">
        <v>2</v>
      </c>
      <c r="P28" t="inlineStr">
        <is>
          <t>Trend break; earnings miss</t>
        </is>
      </c>
      <c r="Q28" s="12" t="n">
        <v>46156</v>
      </c>
      <c r="R28" t="n">
        <v>18.19</v>
      </c>
      <c r="S28" t="inlineStr">
        <is>
          <t>Broad risk-on — equity records, vol compression, DXY sub-99. Iran binary Apr-21.</t>
        </is>
      </c>
      <c r="T28" t="inlineStr">
        <is>
          <t>C</t>
        </is>
      </c>
      <c r="U28" t="inlineStr">
        <is>
          <t>No near-term catalyst. Residual +89.52%</t>
        </is>
      </c>
      <c r="W28" t="inlineStr">
        <is>
          <t>OPEN</t>
        </is>
      </c>
      <c r="AE28" t="inlineStr">
        <is>
          <t>trade-rec-2026-04-16.md v3</t>
        </is>
      </c>
      <c r="AF28" t="inlineStr">
        <is>
          <t>NEW v3 — T unblocked by residual +89.52%. Strongest residual in universe.</t>
        </is>
      </c>
      <c r="AG28" t="inlineStr">
        <is>
          <t>n/a (pre-meta)</t>
        </is>
      </c>
      <c r="AH28" t="inlineStr">
        <is>
          <t>n/a (pre-meta)</t>
        </is>
      </c>
      <c r="AI28" t="inlineStr">
        <is>
          <t>n/a (pre-meta)</t>
        </is>
      </c>
      <c r="AJ28" t="inlineStr">
        <is>
          <t>n/a (pre-meta)</t>
        </is>
      </c>
    </row>
    <row r="29">
      <c r="A29" t="inlineStr">
        <is>
          <t>P005</t>
        </is>
      </c>
      <c r="B29" t="inlineStr">
        <is>
          <t>Promoted</t>
        </is>
      </c>
      <c r="C29" s="13" t="n">
        <v>46129</v>
      </c>
      <c r="D29" t="inlineStr">
        <is>
          <t>QQQ</t>
        </is>
      </c>
      <c r="E29" t="inlineStr">
        <is>
          <t>ETFs/Indices</t>
        </is>
      </c>
      <c r="F29" t="inlineStr">
        <is>
          <t>Long</t>
        </is>
      </c>
      <c r="G29" t="n">
        <v>1</v>
      </c>
      <c r="H29" t="n">
        <v>1</v>
      </c>
      <c r="I29" t="n">
        <v>1</v>
      </c>
      <c r="J29" t="n">
        <v>1</v>
      </c>
      <c r="K29" t="n">
        <v>4</v>
      </c>
      <c r="L29" t="n">
        <v>640.09</v>
      </c>
      <c r="R29" t="n">
        <v>18.19</v>
      </c>
      <c r="S29" t="inlineStr">
        <is>
          <t>Broad risk-on</t>
        </is>
      </c>
      <c r="V29" t="inlineStr">
        <is>
          <t>YES</t>
        </is>
      </c>
      <c r="W29" t="inlineStr">
        <is>
          <t>HIT_TARGET</t>
        </is>
      </c>
      <c r="X29" t="n">
        <v>643.02</v>
      </c>
      <c r="Y29" s="12" t="n">
        <v>46131</v>
      </c>
      <c r="Z29" t="n">
        <v>2</v>
      </c>
      <c r="AC29" t="inlineStr">
        <is>
          <t>EXITED_PRE_CATALYST</t>
        </is>
      </c>
      <c r="AD29" t="n">
        <v>0.46</v>
      </c>
      <c r="AE29" t="inlineStr">
        <is>
          <t>trade-rec-2026-04-16.md (promoted ad-hoc from N019)</t>
        </is>
      </c>
      <c r="AF29" t="inlineStr">
        <is>
          <t>Closed 2026-04-19 16:00 UTC+8 before Apr-22–23 earnings cluster. FOMC Apr-28 unresolved at exit.</t>
        </is>
      </c>
      <c r="AG29" t="inlineStr">
        <is>
          <t>n/a (pre-meta)</t>
        </is>
      </c>
      <c r="AH29" t="inlineStr">
        <is>
          <t>n/a (pre-meta)</t>
        </is>
      </c>
      <c r="AI29" t="inlineStr">
        <is>
          <t>n/a (pre-meta)</t>
        </is>
      </c>
      <c r="AJ29" t="inlineStr">
        <is>
          <t>n/a (pre-meta)</t>
        </is>
      </c>
    </row>
    <row r="30">
      <c r="A30" t="inlineStr">
        <is>
          <t>N024</t>
        </is>
      </c>
      <c r="B30" t="inlineStr">
        <is>
          <t>Near-Miss</t>
        </is>
      </c>
      <c r="C30" s="13" t="n">
        <v>46129</v>
      </c>
      <c r="D30" t="inlineStr">
        <is>
          <t>GOOGL</t>
        </is>
      </c>
      <c r="E30" t="inlineStr">
        <is>
          <t>Equity-single</t>
        </is>
      </c>
      <c r="F30" t="inlineStr">
        <is>
          <t>Long</t>
        </is>
      </c>
      <c r="G30" t="n">
        <v>1</v>
      </c>
      <c r="H30" t="n">
        <v>0</v>
      </c>
      <c r="I30" t="n">
        <v>1</v>
      </c>
      <c r="J30" t="n">
        <v>0</v>
      </c>
      <c r="K30" t="n">
        <v>2</v>
      </c>
      <c r="L30" t="n">
        <v>336.9</v>
      </c>
      <c r="R30" t="n">
        <v>17.92</v>
      </c>
      <c r="S30" t="inlineStr">
        <is>
          <t>Broad risk-on — equity fresh highs, oil correction on Iran deal progress, vol compression deepening</t>
        </is>
      </c>
      <c r="T30" t="inlineStr">
        <is>
          <t>T</t>
        </is>
      </c>
      <c r="U30" t="inlineStr">
        <is>
          <t>Residual momentum -0.80% → T=0 (raw TSMOM +64.84% entirely factor-driven; trust residual per methodology). DOWNGRADED from +3 ref (Apr-16 N020) to +2 actual.</t>
        </is>
      </c>
      <c r="V30" t="inlineStr">
        <is>
          <t>No</t>
        </is>
      </c>
      <c r="W30" t="inlineStr">
        <is>
          <t>OPEN</t>
        </is>
      </c>
      <c r="AE30" t="inlineStr">
        <is>
          <t>trade-rec-2026-04-17.md v1</t>
        </is>
      </c>
      <c r="AF30" t="inlineStr">
        <is>
          <t>Audit-addition (residual-mom) decision-moving BLOCK. Earnings Apr-22 critical binary; C+1 at ceiling without T.</t>
        </is>
      </c>
      <c r="AG30" t="inlineStr">
        <is>
          <t>n/a (pre-meta)</t>
        </is>
      </c>
      <c r="AH30" t="inlineStr">
        <is>
          <t>n/a (pre-meta)</t>
        </is>
      </c>
      <c r="AI30" t="inlineStr">
        <is>
          <t>n/a (pre-meta)</t>
        </is>
      </c>
      <c r="AJ30" t="inlineStr">
        <is>
          <t>n/a (pre-meta)</t>
        </is>
      </c>
    </row>
    <row r="31">
      <c r="A31" t="inlineStr">
        <is>
          <t>N025</t>
        </is>
      </c>
      <c r="B31" t="inlineStr">
        <is>
          <t>Near-Miss</t>
        </is>
      </c>
      <c r="C31" s="13" t="n">
        <v>46129</v>
      </c>
      <c r="D31" t="inlineStr">
        <is>
          <t>EWY</t>
        </is>
      </c>
      <c r="E31" t="inlineStr">
        <is>
          <t>ETF</t>
        </is>
      </c>
      <c r="F31" t="inlineStr">
        <is>
          <t>Long</t>
        </is>
      </c>
      <c r="G31" t="n">
        <v>1</v>
      </c>
      <c r="H31" t="n">
        <v>1</v>
      </c>
      <c r="I31" t="n">
        <v>0</v>
      </c>
      <c r="J31" t="n">
        <v>0</v>
      </c>
      <c r="K31" t="n">
        <v>2</v>
      </c>
      <c r="L31" t="n">
        <v>153.72</v>
      </c>
      <c r="R31" t="n">
        <v>17.92</v>
      </c>
      <c r="S31" t="inlineStr">
        <is>
          <t>Broad risk-on — equity fresh highs, oil correction on Iran deal progress, vol compression deepening</t>
        </is>
      </c>
      <c r="T31" t="inlineStr">
        <is>
          <t>C</t>
        </is>
      </c>
      <c r="U31" t="inlineStr">
        <is>
          <t>Post-TSM-earnings; no fresh catalyst until Xi-Trump summit May-14/15.</t>
        </is>
      </c>
      <c r="V31" t="inlineStr">
        <is>
          <t>No</t>
        </is>
      </c>
      <c r="W31" t="inlineStr">
        <is>
          <t>OPEN</t>
        </is>
      </c>
      <c r="AE31" t="inlineStr">
        <is>
          <t>trade-rec-2026-04-17.md v1</t>
        </is>
      </c>
      <c r="AF31" t="inlineStr">
        <is>
          <t>Prior EWY P001 executed 2026-04-15, HIT_STOP 2026-04-16 (+0.92% realized; stop-too-tight lesson in memory-lessons.md).</t>
        </is>
      </c>
      <c r="AG31" t="inlineStr">
        <is>
          <t>n/a (pre-meta)</t>
        </is>
      </c>
      <c r="AH31" t="inlineStr">
        <is>
          <t>n/a (pre-meta)</t>
        </is>
      </c>
      <c r="AI31" t="inlineStr">
        <is>
          <t>n/a (pre-meta)</t>
        </is>
      </c>
      <c r="AJ31" t="inlineStr">
        <is>
          <t>n/a (pre-meta)</t>
        </is>
      </c>
    </row>
    <row r="32">
      <c r="A32" t="inlineStr">
        <is>
          <t>N026</t>
        </is>
      </c>
      <c r="B32" t="inlineStr">
        <is>
          <t>Near-Miss</t>
        </is>
      </c>
      <c r="C32" s="13" t="n">
        <v>46129</v>
      </c>
      <c r="D32" t="inlineStr">
        <is>
          <t>TSM</t>
        </is>
      </c>
      <c r="E32" t="inlineStr">
        <is>
          <t>Equity-single</t>
        </is>
      </c>
      <c r="F32" t="inlineStr">
        <is>
          <t>Long</t>
        </is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368.92</v>
      </c>
      <c r="R32" t="n">
        <v>17.92</v>
      </c>
      <c r="S32" t="inlineStr">
        <is>
          <t>Broad risk-on — equity fresh highs, oil correction on Iran deal progress, vol compression deepening</t>
        </is>
      </c>
      <c r="T32" t="inlineStr">
        <is>
          <t>T</t>
        </is>
      </c>
      <c r="U32" t="inlineStr">
        <is>
          <t>Residual momentum +1.00% → T=0 (near-zero; all raw TSMOM +78.52% factor-driven). Post-earnings sell-the-news damage -4.4% cumulative.</t>
        </is>
      </c>
      <c r="V32" t="inlineStr">
        <is>
          <t>No</t>
        </is>
      </c>
      <c r="W32" t="inlineStr">
        <is>
          <t>OPEN</t>
        </is>
      </c>
      <c r="AE32" t="inlineStr">
        <is>
          <t>trade-rec-2026-04-17.md v1</t>
        </is>
      </c>
      <c r="AF32" t="inlineStr">
        <is>
          <t>Audit-addition (residual-mom) confirms flat idiosyncratic alpha.</t>
        </is>
      </c>
      <c r="AG32" t="inlineStr">
        <is>
          <t>n/a (pre-meta)</t>
        </is>
      </c>
      <c r="AH32" t="inlineStr">
        <is>
          <t>n/a (pre-meta)</t>
        </is>
      </c>
      <c r="AI32" t="inlineStr">
        <is>
          <t>n/a (pre-meta)</t>
        </is>
      </c>
      <c r="AJ32" t="inlineStr">
        <is>
          <t>n/a (pre-meta)</t>
        </is>
      </c>
    </row>
    <row r="33">
      <c r="A33" t="inlineStr">
        <is>
          <t>N027</t>
        </is>
      </c>
      <c r="B33" t="inlineStr">
        <is>
          <t>Near-Miss</t>
        </is>
      </c>
      <c r="C33" s="13" t="n">
        <v>46129</v>
      </c>
      <c r="D33" t="inlineStr">
        <is>
          <t>NVDA</t>
        </is>
      </c>
      <c r="E33" t="inlineStr">
        <is>
          <t>Equity-single</t>
        </is>
      </c>
      <c r="F33" t="inlineStr">
        <is>
          <t>Long</t>
        </is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200.83</v>
      </c>
      <c r="R33" t="n">
        <v>17.92</v>
      </c>
      <c r="S33" t="inlineStr">
        <is>
          <t>Broad risk-on — equity fresh highs, oil correction on Iran deal progress, vol compression deepening</t>
        </is>
      </c>
      <c r="T33" t="inlineStr">
        <is>
          <t>T</t>
        </is>
      </c>
      <c r="U33" t="inlineStr">
        <is>
          <t>Residual -1.00% → T=0 (was +2 C-block Apr-16 N022; now downgraded by residual).</t>
        </is>
      </c>
      <c r="V33" t="inlineStr">
        <is>
          <t>No</t>
        </is>
      </c>
      <c r="W33" t="inlineStr">
        <is>
          <t>OPEN</t>
        </is>
      </c>
      <c r="AE33" t="inlineStr">
        <is>
          <t>trade-rec-2026-04-17.md v1</t>
        </is>
      </c>
      <c r="AF33" t="inlineStr">
        <is>
          <t>Audit-addition (residual-mom) decision-moving downgrade.</t>
        </is>
      </c>
      <c r="AG33" t="inlineStr">
        <is>
          <t>n/a (pre-meta)</t>
        </is>
      </c>
      <c r="AH33" t="inlineStr">
        <is>
          <t>n/a (pre-meta)</t>
        </is>
      </c>
      <c r="AI33" t="inlineStr">
        <is>
          <t>n/a (pre-meta)</t>
        </is>
      </c>
      <c r="AJ33" t="inlineStr">
        <is>
          <t>n/a (pre-meta)</t>
        </is>
      </c>
    </row>
    <row r="34">
      <c r="A34" t="inlineStr">
        <is>
          <t>N028</t>
        </is>
      </c>
      <c r="B34" t="inlineStr">
        <is>
          <t>Near-Miss</t>
        </is>
      </c>
      <c r="C34" s="13" t="n">
        <v>46129</v>
      </c>
      <c r="D34" t="inlineStr">
        <is>
          <t>AAPL</t>
        </is>
      </c>
      <c r="E34" t="inlineStr">
        <is>
          <t>Equity-single</t>
        </is>
      </c>
      <c r="F34" t="inlineStr">
        <is>
          <t>Long</t>
        </is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271.52</v>
      </c>
      <c r="R34" t="n">
        <v>17.92</v>
      </c>
      <c r="S34" t="inlineStr">
        <is>
          <t>Broad risk-on — equity fresh highs, oil correction on Iran deal progress, vol compression deepening</t>
        </is>
      </c>
      <c r="T34" t="inlineStr">
        <is>
          <t>S_and_C</t>
        </is>
      </c>
      <c r="U34" t="inlineStr">
        <is>
          <t>Residual +4.68% → T=+1 (strong today +3.08%). No S+1 quality case; no near-term catalyst.</t>
        </is>
      </c>
      <c r="V34" t="inlineStr">
        <is>
          <t>No</t>
        </is>
      </c>
      <c r="W34" t="inlineStr">
        <is>
          <t>OPEN</t>
        </is>
      </c>
      <c r="AE34" t="inlineStr">
        <is>
          <t>trade-rec-2026-04-17.md v1</t>
        </is>
      </c>
      <c r="AG34" t="inlineStr">
        <is>
          <t>n/a (pre-meta)</t>
        </is>
      </c>
      <c r="AH34" t="inlineStr">
        <is>
          <t>n/a (pre-meta)</t>
        </is>
      </c>
      <c r="AI34" t="inlineStr">
        <is>
          <t>n/a (pre-meta)</t>
        </is>
      </c>
      <c r="AJ34" t="inlineStr">
        <is>
          <t>n/a (pre-meta)</t>
        </is>
      </c>
    </row>
    <row r="35">
      <c r="A35" t="inlineStr">
        <is>
          <t>N029</t>
        </is>
      </c>
      <c r="B35" t="inlineStr">
        <is>
          <t>Near-Miss</t>
        </is>
      </c>
      <c r="C35" s="13" t="n">
        <v>46129</v>
      </c>
      <c r="D35" t="inlineStr">
        <is>
          <t>AMZN</t>
        </is>
      </c>
      <c r="E35" t="inlineStr">
        <is>
          <t>Equity-single</t>
        </is>
      </c>
      <c r="F35" t="inlineStr">
        <is>
          <t>Long</t>
        </is>
      </c>
      <c r="G35" t="n">
        <v>1</v>
      </c>
      <c r="H35" t="n">
        <v>0</v>
      </c>
      <c r="I35" t="n">
        <v>1</v>
      </c>
      <c r="J35" t="n">
        <v>0</v>
      </c>
      <c r="K35" t="n">
        <v>2</v>
      </c>
      <c r="L35" t="n">
        <v>254.41</v>
      </c>
      <c r="R35" t="n">
        <v>17.92</v>
      </c>
      <c r="S35" t="inlineStr">
        <is>
          <t>Broad risk-on — equity fresh highs, oil correction on Iran deal progress, vol compression deepening</t>
        </is>
      </c>
      <c r="T35" t="inlineStr">
        <is>
          <t>T</t>
        </is>
      </c>
      <c r="U35" t="inlineStr">
        <is>
          <t>Residual +1.39% → T=0 (near-zero). Earnings Apr-23 critical binary (same day INTC).</t>
        </is>
      </c>
      <c r="V35" t="inlineStr">
        <is>
          <t>No</t>
        </is>
      </c>
      <c r="W35" t="inlineStr">
        <is>
          <t>OPEN</t>
        </is>
      </c>
      <c r="AE35" t="inlineStr">
        <is>
          <t>trade-rec-2026-04-17.md v1</t>
        </is>
      </c>
      <c r="AF35" t="inlineStr">
        <is>
          <t>Audit-addition (residual-mom) blocks promotion; residual flat despite earnings cluster C+1.</t>
        </is>
      </c>
      <c r="AG35" t="inlineStr">
        <is>
          <t>n/a (pre-meta)</t>
        </is>
      </c>
      <c r="AH35" t="inlineStr">
        <is>
          <t>n/a (pre-meta)</t>
        </is>
      </c>
      <c r="AI35" t="inlineStr">
        <is>
          <t>n/a (pre-meta)</t>
        </is>
      </c>
      <c r="AJ35" t="inlineStr">
        <is>
          <t>n/a (pre-meta)</t>
        </is>
      </c>
    </row>
    <row r="36">
      <c r="A36" t="inlineStr">
        <is>
          <t>N030</t>
        </is>
      </c>
      <c r="B36" t="inlineStr">
        <is>
          <t>Near-Miss</t>
        </is>
      </c>
      <c r="C36" s="13" t="n">
        <v>46129</v>
      </c>
      <c r="D36" t="inlineStr">
        <is>
          <t>META</t>
        </is>
      </c>
      <c r="E36" t="inlineStr">
        <is>
          <t>Equity-single</t>
        </is>
      </c>
      <c r="F36" t="inlineStr">
        <is>
          <t>Long</t>
        </is>
      </c>
      <c r="G36" t="n">
        <v>1</v>
      </c>
      <c r="H36" t="n">
        <v>0</v>
      </c>
      <c r="I36" t="n">
        <v>1</v>
      </c>
      <c r="J36" t="n">
        <v>0</v>
      </c>
      <c r="K36" t="n">
        <v>2</v>
      </c>
      <c r="L36" t="n">
        <v>685.17</v>
      </c>
      <c r="R36" t="n">
        <v>17.92</v>
      </c>
      <c r="S36" t="inlineStr">
        <is>
          <t>Broad risk-on — equity fresh highs, oil correction on Iran deal progress, vol compression deepening</t>
        </is>
      </c>
      <c r="T36" t="inlineStr">
        <is>
          <t>T</t>
        </is>
      </c>
      <c r="U36" t="inlineStr">
        <is>
          <t>Residual +0.75% → T=0. Earnings Apr-29 same-day FOMC critical binary.</t>
        </is>
      </c>
      <c r="V36" t="inlineStr">
        <is>
          <t>No</t>
        </is>
      </c>
      <c r="W36" t="inlineStr">
        <is>
          <t>OPEN</t>
        </is>
      </c>
      <c r="AE36" t="inlineStr">
        <is>
          <t>trade-rec-2026-04-17.md v1</t>
        </is>
      </c>
      <c r="AF36" t="inlineStr">
        <is>
          <t>Audit-addition (residual-mom) blocks promotion.</t>
        </is>
      </c>
      <c r="AG36" t="inlineStr">
        <is>
          <t>n/a (pre-meta)</t>
        </is>
      </c>
      <c r="AH36" t="inlineStr">
        <is>
          <t>n/a (pre-meta)</t>
        </is>
      </c>
      <c r="AI36" t="inlineStr">
        <is>
          <t>n/a (pre-meta)</t>
        </is>
      </c>
      <c r="AJ36" t="inlineStr">
        <is>
          <t>n/a (pre-meta)</t>
        </is>
      </c>
    </row>
    <row r="37">
      <c r="A37" t="inlineStr">
        <is>
          <t>N031</t>
        </is>
      </c>
      <c r="B37" t="inlineStr">
        <is>
          <t>Near-Miss</t>
        </is>
      </c>
      <c r="C37" s="13" t="n">
        <v>46129</v>
      </c>
      <c r="D37" t="inlineStr">
        <is>
          <t>WTI</t>
        </is>
      </c>
      <c r="E37" t="inlineStr">
        <is>
          <t>Commodity</t>
        </is>
      </c>
      <c r="F37" t="inlineStr">
        <is>
          <t>Long</t>
        </is>
      </c>
      <c r="G37" t="n">
        <v>1</v>
      </c>
      <c r="H37" t="n">
        <v>0</v>
      </c>
      <c r="I37" t="n">
        <v>-1</v>
      </c>
      <c r="J37" t="n">
        <v>1</v>
      </c>
      <c r="K37" t="n">
        <v>1</v>
      </c>
      <c r="L37" t="n">
        <v>79.45999999999999</v>
      </c>
      <c r="R37" t="n">
        <v>17.92</v>
      </c>
      <c r="S37" t="inlineStr">
        <is>
          <t>Broad risk-on — equity fresh highs, oil correction on Iran deal progress, vol compression deepening</t>
        </is>
      </c>
      <c r="T37" t="inlineStr">
        <is>
          <t>T_and_C</t>
        </is>
      </c>
      <c r="U37" t="inlineStr">
        <is>
          <t>T=0 (trend weaker than Brent; 1m flattening). C=-1 (Iran Apr-21 binary bearish for oil). S+1 clean (basis-mom aligned-steepening, no divergence cap).</t>
        </is>
      </c>
      <c r="V37" t="inlineStr">
        <is>
          <t>No</t>
        </is>
      </c>
      <c r="W37" t="inlineStr">
        <is>
          <t>OPEN</t>
        </is>
      </c>
      <c r="AE37" t="inlineStr">
        <is>
          <t>trade-rec-2026-04-17.md v1</t>
        </is>
      </c>
      <c r="AF37" t="inlineStr">
        <is>
          <t>Oil crash -9.27% intraday; partial contract-roll artifact possible.</t>
        </is>
      </c>
      <c r="AG37" t="inlineStr">
        <is>
          <t>n/a (pre-meta)</t>
        </is>
      </c>
      <c r="AH37" t="inlineStr">
        <is>
          <t>n/a (pre-meta)</t>
        </is>
      </c>
      <c r="AI37" t="inlineStr">
        <is>
          <t>n/a (pre-meta)</t>
        </is>
      </c>
      <c r="AJ37" t="inlineStr">
        <is>
          <t>n/a (pre-meta)</t>
        </is>
      </c>
    </row>
    <row r="38">
      <c r="A38" t="inlineStr">
        <is>
          <t>N032</t>
        </is>
      </c>
      <c r="B38" t="inlineStr">
        <is>
          <t>Near-Miss</t>
        </is>
      </c>
      <c r="C38" s="13" t="n">
        <v>46129</v>
      </c>
      <c r="D38" t="inlineStr">
        <is>
          <t>BTC</t>
        </is>
      </c>
      <c r="E38" t="inlineStr">
        <is>
          <t>Crypto</t>
        </is>
      </c>
      <c r="F38" t="inlineStr">
        <is>
          <t>Long</t>
        </is>
      </c>
      <c r="G38" t="n">
        <v>0</v>
      </c>
      <c r="H38" t="n">
        <v>1</v>
      </c>
      <c r="I38" t="n">
        <v>1</v>
      </c>
      <c r="J38" t="n">
        <v>0</v>
      </c>
      <c r="K38" t="n">
        <v>2</v>
      </c>
      <c r="L38" t="n">
        <v>77775</v>
      </c>
      <c r="R38" t="n">
        <v>17.92</v>
      </c>
      <c r="S38" t="inlineStr">
        <is>
          <t>Broad risk-on — equity fresh highs, oil correction on Iran deal progress, vol compression deepening</t>
        </is>
      </c>
      <c r="T38" t="inlineStr">
        <is>
          <t>S</t>
        </is>
      </c>
      <c r="U38" t="inlineStr">
        <is>
          <t>Active-addresses STALE-WARN at 470k (3d stale); S upgraded 0 from -1 on price &gt;$75k + ETF 3-day positive run through Apr-15.</t>
        </is>
      </c>
      <c r="V38" t="inlineStr">
        <is>
          <t>No</t>
        </is>
      </c>
      <c r="W38" t="inlineStr">
        <is>
          <t>OPEN</t>
        </is>
      </c>
      <c r="AE38" t="inlineStr">
        <is>
          <t>trade-rec-2026-04-17.md v1</t>
        </is>
      </c>
      <c r="AF38" t="inlineStr">
        <is>
          <t>Funding negative 46+d = crowded-short squeeze setup (crowding filter, not trigger). FOMC Apr-28 = C+1.</t>
        </is>
      </c>
      <c r="AG38" t="inlineStr">
        <is>
          <t>n/a (pre-meta)</t>
        </is>
      </c>
      <c r="AH38" t="inlineStr">
        <is>
          <t>n/a (pre-meta)</t>
        </is>
      </c>
      <c r="AI38" t="inlineStr">
        <is>
          <t>n/a (pre-meta)</t>
        </is>
      </c>
      <c r="AJ38" t="inlineStr">
        <is>
          <t>n/a (pre-meta)</t>
        </is>
      </c>
    </row>
    <row r="39">
      <c r="A39" t="inlineStr">
        <is>
          <t>N033</t>
        </is>
      </c>
      <c r="B39" t="inlineStr">
        <is>
          <t>Near-Miss</t>
        </is>
      </c>
      <c r="C39" s="13" t="n">
        <v>46129</v>
      </c>
      <c r="D39" t="inlineStr">
        <is>
          <t>PYPL</t>
        </is>
      </c>
      <c r="E39" t="inlineStr">
        <is>
          <t>Equity-single</t>
        </is>
      </c>
      <c r="F39" t="inlineStr">
        <is>
          <t>Short</t>
        </is>
      </c>
      <c r="G39" t="n">
        <v>-1</v>
      </c>
      <c r="H39" t="n">
        <v>-1</v>
      </c>
      <c r="I39" t="n">
        <v>0</v>
      </c>
      <c r="J39" t="n">
        <v>0</v>
      </c>
      <c r="K39" t="n">
        <v>-2</v>
      </c>
      <c r="L39" t="n">
        <v>50.96</v>
      </c>
      <c r="R39" t="n">
        <v>17.92</v>
      </c>
      <c r="S39" t="inlineStr">
        <is>
          <t>Broad risk-on — equity fresh highs, oil correction on Iran deal progress, vol compression deepening</t>
        </is>
      </c>
      <c r="T39" t="inlineStr">
        <is>
          <t>R_and_C</t>
        </is>
      </c>
      <c r="U39" t="inlineStr">
        <is>
          <t>Residual -5.25% (aligns with raw -34.40%). Weakest single-stock. Short direction consistent. R=0 (intermediary z+0.18, no stress).</t>
        </is>
      </c>
      <c r="V39" t="inlineStr">
        <is>
          <t>No</t>
        </is>
      </c>
      <c r="W39" t="inlineStr">
        <is>
          <t>OPEN</t>
        </is>
      </c>
      <c r="AE39" t="inlineStr">
        <is>
          <t>trade-rec-2026-04-17.md v1</t>
        </is>
      </c>
      <c r="AF39" t="inlineStr">
        <is>
          <t>Short-side near-miss logged for evidence trail. Promotion would need C=-1 catalyst or R=-1.</t>
        </is>
      </c>
      <c r="AG39" t="inlineStr">
        <is>
          <t>n/a (pre-meta)</t>
        </is>
      </c>
      <c r="AH39" t="inlineStr">
        <is>
          <t>n/a (pre-meta)</t>
        </is>
      </c>
      <c r="AI39" t="inlineStr">
        <is>
          <t>n/a (pre-meta)</t>
        </is>
      </c>
      <c r="AJ39" t="inlineStr">
        <is>
          <t>n/a (pre-meta)</t>
        </is>
      </c>
    </row>
    <row r="40">
      <c r="A40" t="inlineStr">
        <is>
          <t>P006</t>
        </is>
      </c>
      <c r="B40" t="inlineStr">
        <is>
          <t>Promoted</t>
        </is>
      </c>
      <c r="C40" s="12" t="n">
        <v>46132</v>
      </c>
      <c r="D40" t="inlineStr">
        <is>
          <t>AAVEUSDT</t>
        </is>
      </c>
      <c r="E40" t="inlineStr">
        <is>
          <t>Crypto</t>
        </is>
      </c>
      <c r="F40" t="inlineStr">
        <is>
          <t>Short</t>
        </is>
      </c>
      <c r="L40" t="n">
        <v>90.58</v>
      </c>
      <c r="M40" t="n">
        <v>95</v>
      </c>
      <c r="P40" t="inlineStr">
        <is>
          <t>Stop hit at 95.000</t>
        </is>
      </c>
      <c r="V40" t="inlineStr">
        <is>
          <t>YES</t>
        </is>
      </c>
      <c r="W40" t="inlineStr">
        <is>
          <t>DISCRETIONARY_CLOSE</t>
        </is>
      </c>
      <c r="X40" t="n">
        <v>93.035</v>
      </c>
      <c r="Y40" s="12" t="n">
        <v>46133</v>
      </c>
      <c r="Z40" t="n">
        <v>1</v>
      </c>
      <c r="AD40" t="n">
        <v>-2.6388</v>
      </c>
      <c r="AE40" t="inlineStr">
        <is>
          <t>trade-update-2026-04-20 (screenshot 15:03 UTC+8)</t>
        </is>
      </c>
      <c r="AF40" t="inlineStr">
        <is>
          <t>Off-methodology short. No Sum score. Binance Perp Cross 1x. Size ~404.85 USDT margin. Entered &lt;=15:03 UTC+8 2026-04-20 (exact fill time unknown from screenshot). | CLOSED 2026-04-21 16:22 UTC+8 at 93.035 — discretionary close, adverse price. Realized -11.15 USDT (-2.79% incl fees).</t>
        </is>
      </c>
    </row>
    <row r="41">
      <c r="A41" t="inlineStr">
        <is>
          <t>P007</t>
        </is>
      </c>
      <c r="B41" t="inlineStr">
        <is>
          <t>Promoted</t>
        </is>
      </c>
      <c r="C41" s="12" t="n">
        <v>46132</v>
      </c>
      <c r="D41" t="inlineStr">
        <is>
          <t>TSLAUSDT</t>
        </is>
      </c>
      <c r="E41" t="inlineStr">
        <is>
          <t>Equity</t>
        </is>
      </c>
      <c r="F41" t="inlineStr">
        <is>
          <t>Short</t>
        </is>
      </c>
      <c r="L41" t="n">
        <v>395.56</v>
      </c>
      <c r="M41" t="n">
        <v>400</v>
      </c>
      <c r="P41" t="inlineStr">
        <is>
          <t>Stop hit at 400.000; TSLA Q1 earnings Apr-22 catalyst risk</t>
        </is>
      </c>
      <c r="Q41" s="12" t="n">
        <v>46134</v>
      </c>
      <c r="V41" t="inlineStr">
        <is>
          <t>YES</t>
        </is>
      </c>
      <c r="W41" t="inlineStr">
        <is>
          <t>DISCRETIONARY_CLOSE</t>
        </is>
      </c>
      <c r="X41" t="n">
        <v>400.04505</v>
      </c>
      <c r="Y41" s="12" t="n">
        <v>46132</v>
      </c>
      <c r="Z41" t="n">
        <v>0</v>
      </c>
      <c r="AD41" t="n">
        <v>-1.1211</v>
      </c>
      <c r="AE41" t="inlineStr">
        <is>
          <t>trade-update-2026-04-20 (screenshot 15:03 UTC+8)</t>
        </is>
      </c>
      <c r="AF41" t="inlineStr">
        <is>
          <t>Off-methodology short. No Sum score. Binance Perp Cross 1x. Size ~394.08 USDT margin. Entered &lt;=15:03 UTC+8 2026-04-20. Stop 400.000 is only 1.12% above entry — very tight relative to ATR; risk of stop-tightening lesson replay. TSLA earnings Apr-22 = binary catalyst risk for short thesis. | CLOSED 2026-04-20 20:49 UTC+8 at 400.04505 — discretionary close before TSLA earnings Apr-22. Realized -4.60 USDT (-1.17% incl fees).</t>
        </is>
      </c>
    </row>
    <row r="42">
      <c r="A42" t="inlineStr">
        <is>
          <t>P008</t>
        </is>
      </c>
      <c r="B42" t="inlineStr">
        <is>
          <t>Promoted</t>
        </is>
      </c>
      <c r="C42" s="12" t="n">
        <v>46132</v>
      </c>
      <c r="D42" t="inlineStr">
        <is>
          <t>CLUSDT</t>
        </is>
      </c>
      <c r="E42" t="inlineStr">
        <is>
          <t>Crypto</t>
        </is>
      </c>
      <c r="F42" t="inlineStr">
        <is>
          <t>Long</t>
        </is>
      </c>
      <c r="L42" t="n">
        <v>88.25</v>
      </c>
      <c r="M42" t="n">
        <v>85.3</v>
      </c>
      <c r="P42" t="inlineStr">
        <is>
          <t>Stop hit at 85.300</t>
        </is>
      </c>
      <c r="V42" t="inlineStr">
        <is>
          <t>YES</t>
        </is>
      </c>
      <c r="W42" t="inlineStr">
        <is>
          <t>DISCRETIONARY_CLOSE</t>
        </is>
      </c>
      <c r="X42" t="n">
        <v>88.52</v>
      </c>
      <c r="Y42" s="18" t="n">
        <v>46133</v>
      </c>
      <c r="Z42" t="n">
        <v>1</v>
      </c>
      <c r="AD42" t="n">
        <v>0.31</v>
      </c>
      <c r="AE42" t="inlineStr">
        <is>
          <t>trade-update-2026-04-20 (screenshot 17:07 UTC+8)</t>
        </is>
      </c>
      <c r="AF42" t="inlineStr">
        <is>
          <t>Off-methodology long. No Sum score. Bybit Perp Cross 1x. Size ~395.47 USDT margin. Entered between 15:03 and 17:07 UTC+8 2026-04-20. Third CL entry this session (prior CLUSDT x2 in §7 batch log). | CLOSED DISCRETIONARY 2026-04-21 23:10 UTC+8 @ 88.52 avg. Realized +/usr/bin/bash.79 (+0.19%). Small profit exit; P009/P010 open.</t>
        </is>
      </c>
    </row>
    <row r="43">
      <c r="A43" t="inlineStr">
        <is>
          <t>P009</t>
        </is>
      </c>
      <c r="B43" t="inlineStr">
        <is>
          <t>Promoted</t>
        </is>
      </c>
      <c r="C43" s="13" t="n">
        <v>46132</v>
      </c>
      <c r="D43" t="inlineStr">
        <is>
          <t>SPY</t>
        </is>
      </c>
      <c r="E43" t="inlineStr">
        <is>
          <t>ETF</t>
        </is>
      </c>
      <c r="F43" t="inlineStr">
        <is>
          <t>Long</t>
        </is>
      </c>
      <c r="G43" t="n">
        <v>1</v>
      </c>
      <c r="H43" t="n">
        <v>1</v>
      </c>
      <c r="I43" t="n">
        <v>0</v>
      </c>
      <c r="J43" t="n">
        <v>1</v>
      </c>
      <c r="K43" t="n">
        <v>3</v>
      </c>
      <c r="L43" t="n">
        <v>708.95</v>
      </c>
      <c r="M43" t="n">
        <v>696</v>
      </c>
      <c r="N43" t="n">
        <v>720</v>
      </c>
      <c r="O43" t="n">
        <v>730</v>
      </c>
      <c r="P43" t="inlineStr">
        <is>
          <t>Break &lt;696 (2× ATR, below 50d MA)</t>
        </is>
      </c>
      <c r="Q43" t="inlineStr">
        <is>
          <t>2026-05-13</t>
        </is>
      </c>
      <c r="R43" t="n">
        <v>19.36</v>
      </c>
      <c r="S43" t="inlineStr">
        <is>
          <t>Risk-on/Reflation/Geo-fragile</t>
        </is>
      </c>
      <c r="V43" t="inlineStr">
        <is>
          <t>YES</t>
        </is>
      </c>
      <c r="W43" t="inlineStr">
        <is>
          <t>OPEN</t>
        </is>
      </c>
      <c r="AD43" t="inlineStr">
        <is>
          <t>2026-04-20/trade-rec-2026-04-20.md</t>
        </is>
      </c>
      <c r="AE43" t="inlineStr">
        <is>
          <t>v3 promoted half-size 1.0% due to 4 concurrent haircuts: IC z MISSING, FOMC Apr-29 tail, C=0, ceasefire spillover risk. Residual-mom numpy failure blocks all 11 single stocks; SPY/QQQ only non-T-blocked indices; QQQ correlation-blocked behind SPY.</t>
        </is>
      </c>
      <c r="AF43" t="inlineStr">
        <is>
          <t>ALL 4 sleeves ON. FILLED 2026-04-21 21:43-22:14 UTC+8: T1 397.43 USDT@709.70 (21:43), T2 397.35@709.56 (21:44), T3 398.12@710.93 market (22:13), T4 199.05@710.90 (22:14). Total 1391.96 USDT, avg 710.17, 1.960 units. Stop 696.00. | T5 added 2026-04-22 05:04:47 UTC+8: 699.445 USDT @ 706.51 (Limit). Total 2089.08 USDT, avg 708.95.</t>
        </is>
      </c>
      <c r="AG43" t="inlineStr">
        <is>
          <t>Non-stressed (proxies)</t>
        </is>
      </c>
    </row>
    <row r="44">
      <c r="A44" t="inlineStr">
        <is>
          <t>N033</t>
        </is>
      </c>
      <c r="B44" t="inlineStr">
        <is>
          <t>NearMiss</t>
        </is>
      </c>
      <c r="C44" s="13" t="n">
        <v>46132</v>
      </c>
      <c r="D44" t="inlineStr">
        <is>
          <t>QQQ</t>
        </is>
      </c>
      <c r="E44" t="inlineStr">
        <is>
          <t>ETF</t>
        </is>
      </c>
      <c r="F44" t="inlineStr">
        <is>
          <t>Long</t>
        </is>
      </c>
      <c r="G44" t="n">
        <v>1</v>
      </c>
      <c r="H44" t="n">
        <v>1</v>
      </c>
      <c r="I44" t="n">
        <v>0</v>
      </c>
      <c r="J44" t="n">
        <v>1</v>
      </c>
      <c r="K44" t="n">
        <v>3</v>
      </c>
      <c r="R44" t="n">
        <v>19.36</v>
      </c>
      <c r="S44" t="inlineStr">
        <is>
          <t>Risk-on/Reflation/Geo-fragile</t>
        </is>
      </c>
      <c r="T44" t="inlineStr">
        <is>
          <t>C/Corr</t>
        </is>
      </c>
      <c r="U44" t="inlineStr">
        <is>
          <t>Correlation-blocked behind SPY</t>
        </is>
      </c>
      <c r="V44" t="inlineStr">
        <is>
          <t>NO</t>
        </is>
      </c>
      <c r="W44" t="inlineStr">
        <is>
          <t>SKIPPED</t>
        </is>
      </c>
      <c r="AD44" t="inlineStr">
        <is>
          <t>2026-04-20/trade-rec-2026-04-20.md</t>
        </is>
      </c>
      <c r="AE44" t="inlineStr">
        <is>
          <t>Near-miss: Sum +3 but correlation-gated (shared RISK-ON/equity theme). Re-evaluate if SPY closes.</t>
        </is>
      </c>
      <c r="AF44" t="inlineStr">
        <is>
          <t>ALL 4 sleeves ON</t>
        </is>
      </c>
    </row>
    <row r="45">
      <c r="A45" t="inlineStr">
        <is>
          <t>N034</t>
        </is>
      </c>
      <c r="B45" t="inlineStr">
        <is>
          <t>NearMiss</t>
        </is>
      </c>
      <c r="C45" s="13" t="n">
        <v>46132</v>
      </c>
      <c r="D45" t="inlineStr">
        <is>
          <t>BTCUSDT</t>
        </is>
      </c>
      <c r="E45" t="inlineStr">
        <is>
          <t>Crypto</t>
        </is>
      </c>
      <c r="F45" t="inlineStr">
        <is>
          <t>Long</t>
        </is>
      </c>
      <c r="G45" t="n">
        <v>1</v>
      </c>
      <c r="H45" t="n">
        <v>0</v>
      </c>
      <c r="I45" t="n">
        <v>0</v>
      </c>
      <c r="J45" t="n">
        <v>1</v>
      </c>
      <c r="K45" t="n">
        <v>2</v>
      </c>
      <c r="R45" t="n">
        <v>19.36</v>
      </c>
      <c r="S45" t="inlineStr">
        <is>
          <t>Risk-on/Reflation/Geo-fragile</t>
        </is>
      </c>
      <c r="T45" t="inlineStr">
        <is>
          <t>T</t>
        </is>
      </c>
      <c r="U45" t="inlineStr">
        <is>
          <t>Residual-mom MISSING (numpy)</t>
        </is>
      </c>
      <c r="V45" t="inlineStr">
        <is>
          <t>NO</t>
        </is>
      </c>
      <c r="W45" t="inlineStr">
        <is>
          <t>SKIPPED</t>
        </is>
      </c>
      <c r="AD45" t="inlineStr">
        <is>
          <t>2026-04-20/trade-rec-2026-04-20.md</t>
        </is>
      </c>
      <c r="AE45" t="inlineStr">
        <is>
          <t>Near-miss Sum +2 (T MISSING). 3rd test $75K support; F&amp;G 27; ETF -$325.8M; BTC/equity divergence widening.</t>
        </is>
      </c>
      <c r="AF45" t="inlineStr">
        <is>
          <t>ALL 4 sleeves ON</t>
        </is>
      </c>
    </row>
    <row r="46">
      <c r="A46" t="inlineStr">
        <is>
          <t>N035</t>
        </is>
      </c>
      <c r="B46" t="inlineStr">
        <is>
          <t>NearMiss</t>
        </is>
      </c>
      <c r="C46" s="13" t="n">
        <v>46132</v>
      </c>
      <c r="D46" t="inlineStr">
        <is>
          <t>Silver</t>
        </is>
      </c>
      <c r="E46" t="inlineStr">
        <is>
          <t>Commodity</t>
        </is>
      </c>
      <c r="F46" t="inlineStr">
        <is>
          <t>Long</t>
        </is>
      </c>
      <c r="G46" t="n">
        <v>1</v>
      </c>
      <c r="H46" t="n">
        <v>1</v>
      </c>
      <c r="I46" t="n">
        <v>0</v>
      </c>
      <c r="J46" t="n">
        <v>0</v>
      </c>
      <c r="K46" t="n">
        <v>2</v>
      </c>
      <c r="R46" t="n">
        <v>19.36</v>
      </c>
      <c r="S46" t="inlineStr">
        <is>
          <t>Risk-on/Reflation/Geo-fragile</t>
        </is>
      </c>
      <c r="T46" t="inlineStr">
        <is>
          <t>C</t>
        </is>
      </c>
      <c r="U46" t="inlineStr">
        <is>
          <t>Geopolitical premium partially unwound</t>
        </is>
      </c>
      <c r="V46" t="inlineStr">
        <is>
          <t>NO</t>
        </is>
      </c>
      <c r="W46" t="inlineStr">
        <is>
          <t>SKIPPED</t>
        </is>
      </c>
      <c r="AD46" t="inlineStr">
        <is>
          <t>2026-04-20/trade-rec-2026-04-20.md</t>
        </is>
      </c>
      <c r="AE46" t="inlineStr">
        <is>
          <t>Near-miss Sum +2. S/T pass; awaiting C catalyst (industrial surprise or Gold breakout).</t>
        </is>
      </c>
      <c r="AF46" t="inlineStr">
        <is>
          <t>ALL 4 sleeves ON</t>
        </is>
      </c>
    </row>
    <row r="47">
      <c r="A47" t="inlineStr">
        <is>
          <t>N036</t>
        </is>
      </c>
      <c r="B47" t="inlineStr">
        <is>
          <t>NearMiss</t>
        </is>
      </c>
      <c r="C47" s="13" t="n">
        <v>46132</v>
      </c>
      <c r="D47" t="inlineStr">
        <is>
          <t>Gold</t>
        </is>
      </c>
      <c r="E47" t="inlineStr">
        <is>
          <t>Commodity</t>
        </is>
      </c>
      <c r="F47" t="inlineStr">
        <is>
          <t>Long</t>
        </is>
      </c>
      <c r="G47" t="n">
        <v>1</v>
      </c>
      <c r="H47" t="n">
        <v>1</v>
      </c>
      <c r="I47" t="n">
        <v>0</v>
      </c>
      <c r="J47" t="n">
        <v>0</v>
      </c>
      <c r="K47" t="n">
        <v>2</v>
      </c>
      <c r="R47" t="n">
        <v>19.36</v>
      </c>
      <c r="S47" t="inlineStr">
        <is>
          <t>Risk-on/Reflation/Geo-fragile</t>
        </is>
      </c>
      <c r="T47" t="inlineStr">
        <is>
          <t>C</t>
        </is>
      </c>
      <c r="U47" t="inlineStr">
        <is>
          <t>Ceasefire fragile; premium partial unwind</t>
        </is>
      </c>
      <c r="V47" t="inlineStr">
        <is>
          <t>NO</t>
        </is>
      </c>
      <c r="W47" t="inlineStr">
        <is>
          <t>SKIPPED</t>
        </is>
      </c>
      <c r="AD47" t="inlineStr">
        <is>
          <t>2026-04-20/trade-rec-2026-04-20.md</t>
        </is>
      </c>
      <c r="AE47" t="inlineStr">
        <is>
          <t>Near-miss Sum +2. Trigger: ceasefire breakdown → C=+1 → promote.</t>
        </is>
      </c>
      <c r="AF47" t="inlineStr">
        <is>
          <t>ALL 4 sleeves ON</t>
        </is>
      </c>
    </row>
    <row r="48">
      <c r="A48" t="inlineStr">
        <is>
          <t>N037</t>
        </is>
      </c>
      <c r="B48" t="inlineStr">
        <is>
          <t>NearMiss</t>
        </is>
      </c>
      <c r="C48" s="13" t="n">
        <v>46132</v>
      </c>
      <c r="D48" t="inlineStr">
        <is>
          <t>Brent</t>
        </is>
      </c>
      <c r="E48" t="inlineStr">
        <is>
          <t>Commodity</t>
        </is>
      </c>
      <c r="F48" t="inlineStr">
        <is>
          <t>Long</t>
        </is>
      </c>
      <c r="G48" t="n">
        <v>1</v>
      </c>
      <c r="H48" t="n">
        <v>1</v>
      </c>
      <c r="I48" t="n">
        <v>-1</v>
      </c>
      <c r="J48" t="n">
        <v>1</v>
      </c>
      <c r="K48" t="n">
        <v>2</v>
      </c>
      <c r="R48" t="n">
        <v>19.36</v>
      </c>
      <c r="S48" t="inlineStr">
        <is>
          <t>Risk-on/Reflation/Geo-fragile</t>
        </is>
      </c>
      <c r="T48" t="inlineStr">
        <is>
          <t>C</t>
        </is>
      </c>
      <c r="U48" t="inlineStr">
        <is>
          <t>Oil direction conflict: Hormuz open vs cargo-seizure escalation</t>
        </is>
      </c>
      <c r="V48" t="inlineStr">
        <is>
          <t>NO</t>
        </is>
      </c>
      <c r="W48" t="inlineStr">
        <is>
          <t>SKIPPED</t>
        </is>
      </c>
      <c r="AD48" t="inlineStr">
        <is>
          <t>2026-04-20/trade-rec-2026-04-20.md</t>
        </is>
      </c>
      <c r="AE48" t="inlineStr">
        <is>
          <t>Near-miss Sum +2 (C=-1 conflict). Basis-momentum 4w +0.95 / 12w +2.95 steepening, no divergence cap.</t>
        </is>
      </c>
      <c r="AF48" t="inlineStr">
        <is>
          <t>ALL 4 sleeves ON</t>
        </is>
      </c>
    </row>
    <row r="49">
      <c r="A49" t="inlineStr">
        <is>
          <t>N038</t>
        </is>
      </c>
      <c r="B49" t="inlineStr">
        <is>
          <t>NearMiss</t>
        </is>
      </c>
      <c r="C49" s="13" t="n">
        <v>46132</v>
      </c>
      <c r="D49" t="inlineStr">
        <is>
          <t>Copper</t>
        </is>
      </c>
      <c r="E49" t="inlineStr">
        <is>
          <t>Commodity</t>
        </is>
      </c>
      <c r="F49" t="inlineStr">
        <is>
          <t>Long</t>
        </is>
      </c>
      <c r="G49" t="n">
        <v>1</v>
      </c>
      <c r="H49" t="n">
        <v>1</v>
      </c>
      <c r="I49" t="n">
        <v>0</v>
      </c>
      <c r="J49" t="n">
        <v>0</v>
      </c>
      <c r="K49" t="n">
        <v>2</v>
      </c>
      <c r="R49" t="n">
        <v>19.36</v>
      </c>
      <c r="S49" t="inlineStr">
        <is>
          <t>Risk-on/Reflation/Geo-fragile</t>
        </is>
      </c>
      <c r="T49" t="inlineStr">
        <is>
          <t>C</t>
        </is>
      </c>
      <c r="U49" t="inlineStr">
        <is>
          <t>Awaiting China PMI beat or fiscal stim</t>
        </is>
      </c>
      <c r="V49" t="inlineStr">
        <is>
          <t>NO</t>
        </is>
      </c>
      <c r="W49" t="inlineStr">
        <is>
          <t>SKIPPED</t>
        </is>
      </c>
      <c r="AD49" t="inlineStr">
        <is>
          <t>2026-04-20/trade-rec-2026-04-20.md</t>
        </is>
      </c>
      <c r="AE49" t="inlineStr">
        <is>
          <t>Near-miss Sum +2. S/T pass; catalyst pending.</t>
        </is>
      </c>
      <c r="AF49" t="inlineStr">
        <is>
          <t>ALL 4 sleeves ON</t>
        </is>
      </c>
    </row>
    <row r="50">
      <c r="A50" t="inlineStr">
        <is>
          <t>N039</t>
        </is>
      </c>
      <c r="B50" t="inlineStr">
        <is>
          <t>NearMiss</t>
        </is>
      </c>
      <c r="C50" s="13" t="n">
        <v>46132</v>
      </c>
      <c r="D50" t="inlineStr">
        <is>
          <t>EWY</t>
        </is>
      </c>
      <c r="E50" t="inlineStr">
        <is>
          <t>ETF</t>
        </is>
      </c>
      <c r="F50" t="inlineStr">
        <is>
          <t>Long</t>
        </is>
      </c>
      <c r="G50" t="n">
        <v>1</v>
      </c>
      <c r="H50" t="n">
        <v>1</v>
      </c>
      <c r="I50" t="n">
        <v>0</v>
      </c>
      <c r="J50" t="n">
        <v>0</v>
      </c>
      <c r="K50" t="n">
        <v>2</v>
      </c>
      <c r="R50" t="n">
        <v>19.36</v>
      </c>
      <c r="S50" t="inlineStr">
        <is>
          <t>Risk-on/Reflation/Geo-fragile</t>
        </is>
      </c>
      <c r="T50" t="inlineStr">
        <is>
          <t>C</t>
        </is>
      </c>
      <c r="U50" t="inlineStr">
        <is>
          <t>Awaiting KR macro catalyst</t>
        </is>
      </c>
      <c r="V50" t="inlineStr">
        <is>
          <t>NO</t>
        </is>
      </c>
      <c r="W50" t="inlineStr">
        <is>
          <t>SKIPPED</t>
        </is>
      </c>
      <c r="AD50" t="inlineStr">
        <is>
          <t>2026-04-20/trade-rec-2026-04-20.md</t>
        </is>
      </c>
      <c r="AE50" t="inlineStr">
        <is>
          <t>Near-miss Sum +2. Intl-equity sleeve ON (Faber gate). Catalyst-pending.</t>
        </is>
      </c>
      <c r="AF50" t="inlineStr">
        <is>
          <t>ALL 4 sleeves ON</t>
        </is>
      </c>
    </row>
    <row r="51">
      <c r="A51" t="inlineStr">
        <is>
          <t>P010</t>
        </is>
      </c>
      <c r="B51" t="inlineStr">
        <is>
          <t>Promoted</t>
        </is>
      </c>
      <c r="C51" s="17" t="n">
        <v>46133</v>
      </c>
      <c r="D51" t="inlineStr">
        <is>
          <t>EWJ</t>
        </is>
      </c>
      <c r="E51" t="inlineStr">
        <is>
          <t>ETF</t>
        </is>
      </c>
      <c r="F51" t="inlineStr">
        <is>
          <t>Long</t>
        </is>
      </c>
      <c r="G51" t="n">
        <v>1</v>
      </c>
      <c r="H51" t="n">
        <v>1</v>
      </c>
      <c r="I51" t="n">
        <v>0</v>
      </c>
      <c r="J51" t="n">
        <v>1</v>
      </c>
      <c r="K51" t="n">
        <v>3</v>
      </c>
      <c r="L51" t="n">
        <v>88.3</v>
      </c>
      <c r="M51" t="n">
        <v>86</v>
      </c>
      <c r="N51" t="n">
        <v>95</v>
      </c>
      <c r="O51" t="n">
        <v>98</v>
      </c>
      <c r="P51" t="inlineStr">
        <is>
          <t>USDJPY&lt;150; Nikkei -5%; BOJ emergency hike &gt;=50bp; US-China trade war escalation</t>
        </is>
      </c>
      <c r="Q51" t="inlineStr">
        <is>
          <t>2026-06-30</t>
        </is>
      </c>
      <c r="R51" t="n">
        <v>19.04</v>
      </c>
      <c r="S51" t="inlineStr">
        <is>
          <t>RISK-ON/GEOPOLITICAL-BINARY-CEASEFIRE-EXPIRED</t>
        </is>
      </c>
      <c r="V51" t="inlineStr">
        <is>
          <t>YES</t>
        </is>
      </c>
      <c r="W51" t="inlineStr">
        <is>
          <t>OPEN</t>
        </is>
      </c>
      <c r="AE51" t="inlineStr">
        <is>
          <t>2026-04-21/trade-rec-2026-04-21.md</t>
        </is>
      </c>
      <c r="AF51" t="inlineStr">
        <is>
          <t>Promoted cloud-7pm 2026-04-21, re-confirmed local 20:20. Raw TSMOM (ETF). V027 z+1.65 (A). Size 0.75% corr haircut vs SPY. FILLED 2026-04-21 21:47-22:13 UTC+8: T1 799.02 USDT@88.48 market (21:47), T2 399.55@88.39 market (22:13). Two limit orders @88.42 cancelled before fills. Total 1198.57 USDT, avg 88.44, 13.551 units. Stop 86.00. Entry better than rec estimate 90.24 — filled ~2% below plan. | T3 added 2026-04-22 05:07:30 UTC+8: 199.249 USDT @ 87.39 (Market). Total 1396.05 USDT, avg 88.30.</t>
        </is>
      </c>
      <c r="AG51" t="inlineStr">
        <is>
          <t>Intl Equity ON</t>
        </is>
      </c>
    </row>
    <row r="52">
      <c r="A52" t="inlineStr">
        <is>
          <t>P011</t>
        </is>
      </c>
      <c r="B52" t="inlineStr">
        <is>
          <t>Promoted</t>
        </is>
      </c>
      <c r="C52" s="17" t="n">
        <v>46133</v>
      </c>
      <c r="D52" t="inlineStr">
        <is>
          <t>Gold</t>
        </is>
      </c>
      <c r="E52" t="inlineStr">
        <is>
          <t>Commodity</t>
        </is>
      </c>
      <c r="F52" t="inlineStr">
        <is>
          <t>Long</t>
        </is>
      </c>
      <c r="G52" t="n">
        <v>1</v>
      </c>
      <c r="H52" t="n">
        <v>1</v>
      </c>
      <c r="I52" t="n">
        <v>0</v>
      </c>
      <c r="J52" t="n">
        <v>1</v>
      </c>
      <c r="K52" t="n">
        <v>3</v>
      </c>
      <c r="P52" t="inlineStr">
        <is>
          <t>Iran deal -&gt; rate hike risk -&gt; gold under pressure; break below $4640</t>
        </is>
      </c>
      <c r="Q52" t="inlineStr">
        <is>
          <t>2026-06-30</t>
        </is>
      </c>
      <c r="R52" t="n">
        <v>19.04</v>
      </c>
      <c r="S52" t="inlineStr">
        <is>
          <t>RISK-ON/GEOPOLITICAL-BINARY-CEASEFIRE-EXPIRED</t>
        </is>
      </c>
      <c r="T52" t="inlineStr">
        <is>
          <t>Gate</t>
        </is>
      </c>
      <c r="U52" t="inlineStr">
        <is>
          <t>Commodity sleeve UNCERTAIN (GSCI MISSING 4th run) -&gt; effective OFF; Taken=NO</t>
        </is>
      </c>
      <c r="V52" t="inlineStr">
        <is>
          <t>NO</t>
        </is>
      </c>
      <c r="W52" t="inlineStr">
        <is>
          <t>GATE-BLOCKED</t>
        </is>
      </c>
      <c r="AE52" t="inlineStr">
        <is>
          <t>2026-04-21/trade-rec-2026-04-21.md</t>
        </is>
      </c>
      <c r="AF52" t="inlineStr">
        <is>
          <t>Sum+3 commodity gated. Gold $4808. Gate-blocked at local 20:20.</t>
        </is>
      </c>
      <c r="AG52" t="inlineStr">
        <is>
          <t>Commodity UNCERTAIN/OFF</t>
        </is>
      </c>
    </row>
    <row r="53">
      <c r="A53" t="inlineStr">
        <is>
          <t>P012</t>
        </is>
      </c>
      <c r="B53" t="inlineStr">
        <is>
          <t>Promoted</t>
        </is>
      </c>
      <c r="C53" s="17" t="n">
        <v>46133</v>
      </c>
      <c r="D53" t="inlineStr">
        <is>
          <t>Silver</t>
        </is>
      </c>
      <c r="E53" t="inlineStr">
        <is>
          <t>Commodity</t>
        </is>
      </c>
      <c r="F53" t="inlineStr">
        <is>
          <t>Long</t>
        </is>
      </c>
      <c r="G53" t="n">
        <v>1</v>
      </c>
      <c r="H53" t="n">
        <v>1</v>
      </c>
      <c r="I53" t="n">
        <v>0</v>
      </c>
      <c r="J53" t="n">
        <v>1</v>
      </c>
      <c r="K53" t="n">
        <v>3</v>
      </c>
      <c r="P53" t="inlineStr">
        <is>
          <t>Iran ceasefire -&gt; commodity deflation; break below $75</t>
        </is>
      </c>
      <c r="Q53" t="inlineStr">
        <is>
          <t>2026-06-30</t>
        </is>
      </c>
      <c r="R53" t="n">
        <v>19.04</v>
      </c>
      <c r="S53" t="inlineStr">
        <is>
          <t>RISK-ON/GEOPOLITICAL-BINARY-CEASEFIRE-EXPIRED</t>
        </is>
      </c>
      <c r="T53" t="inlineStr">
        <is>
          <t>Gate</t>
        </is>
      </c>
      <c r="U53" t="inlineStr">
        <is>
          <t>Commodity sleeve UNCERTAIN (GSCI MISSING 4th run) -&gt; effective OFF; Taken=NO</t>
        </is>
      </c>
      <c r="V53" t="inlineStr">
        <is>
          <t>NO</t>
        </is>
      </c>
      <c r="W53" t="inlineStr">
        <is>
          <t>GATE-BLOCKED</t>
        </is>
      </c>
      <c r="AE53" t="inlineStr">
        <is>
          <t>2026-04-21/trade-rec-2026-04-21.md</t>
        </is>
      </c>
      <c r="AF53" t="inlineStr">
        <is>
          <t>Sum+3 commodity gated. Silver $79.07. Gate-blocked at local 20:20.</t>
        </is>
      </c>
      <c r="AG53" t="inlineStr">
        <is>
          <t>Commodity UNCERTAIN/OFF</t>
        </is>
      </c>
    </row>
    <row r="54">
      <c r="A54" t="inlineStr">
        <is>
          <t>P013</t>
        </is>
      </c>
      <c r="B54" t="inlineStr">
        <is>
          <t>Promoted</t>
        </is>
      </c>
      <c r="C54" s="17" t="n">
        <v>46133</v>
      </c>
      <c r="D54" t="inlineStr">
        <is>
          <t>INTC</t>
        </is>
      </c>
      <c r="E54" t="inlineStr">
        <is>
          <t>Equity</t>
        </is>
      </c>
      <c r="F54" t="inlineStr">
        <is>
          <t>Long</t>
        </is>
      </c>
      <c r="G54" t="n">
        <v>1</v>
      </c>
      <c r="H54" t="n">
        <v>1</v>
      </c>
      <c r="I54" t="n">
        <v>1</v>
      </c>
      <c r="J54" t="n">
        <v>1</v>
      </c>
      <c r="K54" t="n">
        <v>4</v>
      </c>
      <c r="L54" t="n">
        <v>70</v>
      </c>
      <c r="M54" t="n">
        <v>65</v>
      </c>
      <c r="N54" t="n">
        <v>75</v>
      </c>
      <c r="O54" t="n">
        <v>82</v>
      </c>
      <c r="P54" t="inlineStr">
        <is>
          <t>Q1 miss on Terafab milestones/gross margin cut -&gt; C=0/-1 -&gt; exit; break below ATR stop; FOMC Apr-28-29 hawkish</t>
        </is>
      </c>
      <c r="Q54" t="inlineStr">
        <is>
          <t>2026-06-23</t>
        </is>
      </c>
      <c r="R54" t="n">
        <v>19.04</v>
      </c>
      <c r="S54" t="inlineStr">
        <is>
          <t>RISK-ON/GEOPOLITICAL-BINARY-CEASEFIRE-EXPIRED</t>
        </is>
      </c>
      <c r="V54" t="inlineStr">
        <is>
          <t>PENDING</t>
        </is>
      </c>
      <c r="W54" t="inlineStr">
        <is>
          <t>OPEN</t>
        </is>
      </c>
      <c r="AE54" t="inlineStr">
        <is>
          <t>2026-04-21/trade-rec-2026-04-21.md</t>
        </is>
      </c>
      <c r="AF54" t="inlineStr">
        <is>
          <t>NEW PROMOTION. V026 residual +13.89% (A) T=+1. Sum+4 highest conviction signal. Entry AFTER Apr-23 AC beat (Apr-24 morning). Size 1.0% full (V027 z+1.65 capital expansion). ATR ~$2.50.</t>
        </is>
      </c>
      <c r="AG54" t="inlineStr">
        <is>
          <t>Equity ON</t>
        </is>
      </c>
    </row>
    <row r="55">
      <c r="A55" t="inlineStr">
        <is>
          <t>P014</t>
        </is>
      </c>
      <c r="B55" t="inlineStr">
        <is>
          <t>Promoted</t>
        </is>
      </c>
      <c r="C55" s="17" t="n">
        <v>46133</v>
      </c>
      <c r="D55" t="inlineStr">
        <is>
          <t>AAPL</t>
        </is>
      </c>
      <c r="E55" t="inlineStr">
        <is>
          <t>Equity</t>
        </is>
      </c>
      <c r="F55" t="inlineStr">
        <is>
          <t>Long</t>
        </is>
      </c>
      <c r="G55" t="n">
        <v>1</v>
      </c>
      <c r="H55" t="n">
        <v>1</v>
      </c>
      <c r="I55" t="n">
        <v>0</v>
      </c>
      <c r="J55" t="n">
        <v>1</v>
      </c>
      <c r="K55" t="n">
        <v>3</v>
      </c>
      <c r="L55" t="n">
        <v>273</v>
      </c>
      <c r="M55" t="n">
        <v>266.5</v>
      </c>
      <c r="N55" t="n">
        <v>280</v>
      </c>
      <c r="O55" t="n">
        <v>290</v>
      </c>
      <c r="P55" t="inlineStr">
        <is>
          <t>Break below $264 (2xATR); SPY break $696; FOMC hawkish; hard exit 2026-04-30 before May 1 earnings</t>
        </is>
      </c>
      <c r="Q55" t="inlineStr">
        <is>
          <t>2026-04-30</t>
        </is>
      </c>
      <c r="R55" t="n">
        <v>19.04</v>
      </c>
      <c r="S55" t="inlineStr">
        <is>
          <t>RISK-ON/GEOPOLITICAL-BINARY-CEASEFIRE-EXPIRED</t>
        </is>
      </c>
      <c r="V55" t="inlineStr">
        <is>
          <t>PENDING</t>
        </is>
      </c>
      <c r="W55" t="inlineStr">
        <is>
          <t>OPEN</t>
        </is>
      </c>
      <c r="AE55" t="inlineStr">
        <is>
          <t>2026-04-21/trade-rec-2026-04-21.md</t>
        </is>
      </c>
      <c r="AF55" t="inlineStr">
        <is>
          <t>NEW PROMOTION. V026 residual +4.68% T=+1. C=0 structural only. Size 0.75% corr haircut vs SPY. Hard time-stop 2026-04-30 BINDING.</t>
        </is>
      </c>
      <c r="AG55" t="inlineStr">
        <is>
          <t>Equity ON</t>
        </is>
      </c>
    </row>
    <row r="56">
      <c r="A56" t="inlineStr">
        <is>
          <t>P015</t>
        </is>
      </c>
      <c r="B56" t="inlineStr">
        <is>
          <t>Promoted</t>
        </is>
      </c>
      <c r="C56" s="17" t="n">
        <v>46133</v>
      </c>
      <c r="D56" t="inlineStr">
        <is>
          <t>GOOGL</t>
        </is>
      </c>
      <c r="E56" t="inlineStr">
        <is>
          <t>Equity</t>
        </is>
      </c>
      <c r="F56" t="inlineStr">
        <is>
          <t>Long</t>
        </is>
      </c>
      <c r="G56" t="n">
        <v>1</v>
      </c>
      <c r="H56" t="n">
        <v>0</v>
      </c>
      <c r="I56" t="n">
        <v>1</v>
      </c>
      <c r="J56" t="n">
        <v>1</v>
      </c>
      <c r="K56" t="n">
        <v>3</v>
      </c>
      <c r="L56" t="n">
        <v>335</v>
      </c>
      <c r="M56" t="n">
        <v>317</v>
      </c>
      <c r="N56" t="n">
        <v>355</v>
      </c>
      <c r="O56" t="n">
        <v>375</v>
      </c>
      <c r="P56" t="inlineStr">
        <is>
          <t>Earnings miss -&gt; Sum&lt;3 -&gt; no entry; break below 2xATR from entry; FOMC hawkish</t>
        </is>
      </c>
      <c r="Q56" t="inlineStr">
        <is>
          <t>2026-05-15</t>
        </is>
      </c>
      <c r="R56" t="n">
        <v>19.04</v>
      </c>
      <c r="S56" t="inlineStr">
        <is>
          <t>RISK-ON/GEOPOLITICAL-BINARY-CEASEFIRE-EXPIRED</t>
        </is>
      </c>
      <c r="V56" t="inlineStr">
        <is>
          <t>PENDING</t>
        </is>
      </c>
      <c r="W56" t="inlineStr">
        <is>
          <t>CONTINGENT</t>
        </is>
      </c>
      <c r="AE56" t="inlineStr">
        <is>
          <t>2026-04-21/trade-rec-2026-04-21.md</t>
        </is>
      </c>
      <c r="AF56" t="inlineStr">
        <is>
          <t>CONTINGENT on Apr-23 UTC+8 beat confirm. V026 residual -0.80% T=0. Sum+3 via S+1/T0/C+1/R+1. Do not chase gap. Size 0.75%.</t>
        </is>
      </c>
      <c r="AG56" t="inlineStr">
        <is>
          <t>Equity ON</t>
        </is>
      </c>
    </row>
    <row r="57">
      <c r="A57" t="inlineStr">
        <is>
          <t>N040</t>
        </is>
      </c>
      <c r="B57" t="inlineStr">
        <is>
          <t>Near-Miss</t>
        </is>
      </c>
      <c r="C57" s="17" t="n">
        <v>46133</v>
      </c>
      <c r="D57" t="inlineStr">
        <is>
          <t>MU</t>
        </is>
      </c>
      <c r="E57" t="inlineStr">
        <is>
          <t>Equity</t>
        </is>
      </c>
      <c r="F57" t="inlineStr">
        <is>
          <t>Long</t>
        </is>
      </c>
      <c r="G57" t="n">
        <v>1</v>
      </c>
      <c r="H57" t="n">
        <v>1</v>
      </c>
      <c r="I57" t="n">
        <v>0</v>
      </c>
      <c r="J57" t="n">
        <v>1</v>
      </c>
      <c r="K57" t="n">
        <v>3</v>
      </c>
      <c r="R57" t="n">
        <v>19.04</v>
      </c>
      <c r="S57" t="inlineStr">
        <is>
          <t>RISK-ON/GEOPOLITICAL-BINARY-CEASEFIRE-EXPIRED</t>
        </is>
      </c>
      <c r="T57" t="inlineStr">
        <is>
          <t>Correlation</t>
        </is>
      </c>
      <c r="U57" t="inlineStr">
        <is>
          <t>Equity sleeve at capacity (SPY+EWJ+AAPL+INTC) during Apr-22-29 earnings+FOMC cluster</t>
        </is>
      </c>
      <c r="W57" t="inlineStr">
        <is>
          <t>OPEN</t>
        </is>
      </c>
      <c r="AE57" t="inlineStr">
        <is>
          <t>2026-04-21/trade-rec-2026-04-21.md</t>
        </is>
      </c>
      <c r="AF57" t="inlineStr">
        <is>
          <t>NEW. V026 residual +15.63% T=+1. Deferred to post-FOMC (Apr-30+). Trigger: position reduction allows entry.</t>
        </is>
      </c>
      <c r="AG57" t="inlineStr">
        <is>
          <t>Equity ON</t>
        </is>
      </c>
    </row>
    <row r="58">
      <c r="A58" t="inlineStr">
        <is>
          <t>N041</t>
        </is>
      </c>
      <c r="B58" t="inlineStr">
        <is>
          <t>Near-Miss</t>
        </is>
      </c>
      <c r="C58" s="17" t="n">
        <v>46133</v>
      </c>
      <c r="D58" t="inlineStr">
        <is>
          <t>NVDA</t>
        </is>
      </c>
      <c r="E58" t="inlineStr">
        <is>
          <t>Equity</t>
        </is>
      </c>
      <c r="F58" t="inlineStr">
        <is>
          <t>Long</t>
        </is>
      </c>
      <c r="G58" t="n">
        <v>1</v>
      </c>
      <c r="H58" t="n">
        <v>0</v>
      </c>
      <c r="I58" t="n">
        <v>1</v>
      </c>
      <c r="J58" t="n">
        <v>1</v>
      </c>
      <c r="K58" t="n">
        <v>3</v>
      </c>
      <c r="R58" t="n">
        <v>19.04</v>
      </c>
      <c r="S58" t="inlineStr">
        <is>
          <t>RISK-ON/GEOPOLITICAL-BINARY-CEASEFIRE-EXPIRED</t>
        </is>
      </c>
      <c r="T58" t="inlineStr">
        <is>
          <t>Correlation</t>
        </is>
      </c>
      <c r="U58" t="inlineStr">
        <is>
          <t>Tech concentration (GOOGL+AAPL+INTC); T=0 (residual -1.00% neutral)</t>
        </is>
      </c>
      <c r="W58" t="inlineStr">
        <is>
          <t>OPEN</t>
        </is>
      </c>
      <c r="AE58" t="inlineStr">
        <is>
          <t>2026-04-21/trade-rec-2026-04-21.md</t>
        </is>
      </c>
      <c r="AF58" t="inlineStr">
        <is>
          <t>V026 residual -1.00% T=0 neutral. C+1 AI capex + GOOGL read-through. Trigger: GOOGL beat + residual &gt;+2%.</t>
        </is>
      </c>
      <c r="AG58" t="inlineStr">
        <is>
          <t>Equity ON</t>
        </is>
      </c>
    </row>
  </sheetData>
  <autoFilter ref="A1:AF1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zoomScaleNormal="100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C35" sqref="C34:C35"/>
    </sheetView>
  </sheetViews>
  <sheetFormatPr baseColWidth="8" defaultColWidth="8.6640625" defaultRowHeight="14.25"/>
  <cols>
    <col width="12" customWidth="1" style="15" min="1" max="1"/>
    <col width="40" customWidth="1" style="15" min="2" max="2"/>
    <col width="14" customWidth="1" style="15" min="3" max="4"/>
    <col width="20" customWidth="1" style="15" min="5" max="5"/>
    <col width="14" customWidth="1" style="15" min="6" max="8"/>
    <col width="20" customWidth="1" style="15" min="9" max="10"/>
    <col width="25" customWidth="1" style="15" min="11" max="13"/>
    <col width="20" customWidth="1" style="15" min="14" max="14"/>
    <col width="12" customWidth="1" style="15" min="15" max="15"/>
    <col width="30" customWidth="1" style="15" min="16" max="16"/>
  </cols>
  <sheetData>
    <row r="1" ht="23.85" customHeight="1" s="15">
      <c r="A1" s="1" t="inlineStr">
        <is>
          <t>Date</t>
        </is>
      </c>
      <c r="B1" s="1" t="inlineStr">
        <is>
          <t>Regime_Label</t>
        </is>
      </c>
      <c r="C1" s="1" t="inlineStr">
        <is>
          <t>Growth</t>
        </is>
      </c>
      <c r="D1" s="1" t="inlineStr">
        <is>
          <t>Inflation</t>
        </is>
      </c>
      <c r="E1" s="1" t="inlineStr">
        <is>
          <t>Policy</t>
        </is>
      </c>
      <c r="F1" s="1" t="inlineStr">
        <is>
          <t>FinConditions</t>
        </is>
      </c>
      <c r="G1" s="1" t="inlineStr">
        <is>
          <t>RiskOnOff</t>
        </is>
      </c>
      <c r="H1" s="1" t="inlineStr">
        <is>
          <t>BTC_VolRegime</t>
        </is>
      </c>
      <c r="I1" s="1" t="inlineStr">
        <is>
          <t>BTC_FundingBasis</t>
        </is>
      </c>
      <c r="J1" s="1" t="inlineStr">
        <is>
          <t>BTC_Structural</t>
        </is>
      </c>
      <c r="K1" s="1" t="inlineStr">
        <is>
          <t>Watch_Var_1</t>
        </is>
      </c>
      <c r="L1" s="1" t="inlineStr">
        <is>
          <t>Watch_Var_2</t>
        </is>
      </c>
      <c r="M1" s="1" t="inlineStr">
        <is>
          <t>Watch_Var_3</t>
        </is>
      </c>
      <c r="N1" s="1" t="inlineStr">
        <is>
          <t>Promoted_Signals</t>
        </is>
      </c>
      <c r="O1" s="1" t="inlineStr">
        <is>
          <t>NearMiss_Count</t>
        </is>
      </c>
      <c r="P1" s="1" t="inlineStr">
        <is>
          <t>Source_Brief</t>
        </is>
      </c>
    </row>
    <row r="2" ht="15" customHeight="1" s="15">
      <c r="A2" s="2" t="n">
        <v>46126</v>
      </c>
      <c r="B2" s="3" t="inlineStr">
        <is>
          <t>Energy-led reflation shock + hawkish repricing, softening at margin</t>
        </is>
      </c>
      <c r="C2" s="3" t="inlineStr">
        <is>
          <t>ambiguous</t>
        </is>
      </c>
      <c r="D2" s="3" t="inlineStr">
        <is>
          <t>reflationary</t>
        </is>
      </c>
      <c r="E2" s="3" t="inlineStr">
        <is>
          <t>on hold 3.50-3.75%</t>
        </is>
      </c>
      <c r="F2" s="3" t="inlineStr">
        <is>
          <t>easing (NFCI -0.43)</t>
        </is>
      </c>
      <c r="G2" s="3" t="inlineStr">
        <is>
          <t>cautious risk-on</t>
        </is>
      </c>
      <c r="H2" s="3" t="inlineStr">
        <is>
          <t>elevated spot volatility</t>
        </is>
      </c>
      <c r="I2" s="3" t="inlineStr">
        <is>
          <t>funding negative Binance</t>
        </is>
      </c>
      <c r="J2" s="3" t="inlineStr">
        <is>
          <t>active addr collapse 364k S=-1</t>
        </is>
      </c>
      <c r="K2" s="3" t="inlineStr">
        <is>
          <t>Brent M1-M3 curve</t>
        </is>
      </c>
      <c r="L2" s="3" t="inlineStr">
        <is>
          <t>DXY breakdown sub-98</t>
        </is>
      </c>
      <c r="M2" s="3" t="inlineStr">
        <is>
          <t>TSM earnings Apr-16</t>
        </is>
      </c>
      <c r="N2" s="3" t="inlineStr">
        <is>
          <t>N001 (EWY)</t>
        </is>
      </c>
      <c r="O2" s="3" t="n">
        <v>8</v>
      </c>
      <c r="P2" s="3" t="inlineStr">
        <is>
          <t>market-brief-2026-04-14.md</t>
        </is>
      </c>
    </row>
    <row r="3" ht="15" customHeight="1" s="15">
      <c r="A3" s="2" t="n">
        <v>46127</v>
      </c>
      <c r="B3" s="3" t="inlineStr">
        <is>
          <t>Post-shock reflation unwind → cautious risk-on</t>
        </is>
      </c>
      <c r="C3" s="3" t="inlineStr">
        <is>
          <t>ambiguous, deteriorating at margin</t>
        </is>
      </c>
      <c r="D3" s="3" t="inlineStr">
        <is>
          <t>reflationary (CPI +3.3%)</t>
        </is>
      </c>
      <c r="E3" s="3" t="inlineStr">
        <is>
          <t>on hold 3.50-3.75%; FOMC Apr 28-29</t>
        </is>
      </c>
      <c r="F3" s="3" t="inlineStr">
        <is>
          <t>easing (NFCI -0.43; VIX 18.36)</t>
        </is>
      </c>
      <c r="G3" s="3" t="inlineStr">
        <is>
          <t>cautious risk-on</t>
        </is>
      </c>
      <c r="H3" s="3" t="inlineStr">
        <is>
          <t>spot pullback $74.3k</t>
        </is>
      </c>
      <c r="I3" s="3" t="inlineStr">
        <is>
          <t>ETF flows FLIPPED +$411.5M</t>
        </is>
      </c>
      <c r="J3" s="3" t="inlineStr">
        <is>
          <t>active addr 364k (stale) S=-1</t>
        </is>
      </c>
      <c r="K3" s="3" t="inlineStr">
        <is>
          <t>Brent M1-M3 curve (EIA)</t>
        </is>
      </c>
      <c r="L3" s="3" t="inlineStr">
        <is>
          <t>DXY breakdown (sub-98)</t>
        </is>
      </c>
      <c r="M3" s="3" t="inlineStr">
        <is>
          <t>TSM earnings Apr-16</t>
        </is>
      </c>
      <c r="N3" s="3" t="inlineStr">
        <is>
          <t>P001 (EWY), P003 (INTC)</t>
        </is>
      </c>
      <c r="O3" s="3" t="n">
        <v>5</v>
      </c>
      <c r="P3" s="3" t="inlineStr">
        <is>
          <t>market-brief-2026-04-15.md v1 + trade-rec v3</t>
        </is>
      </c>
    </row>
    <row r="4">
      <c r="A4" s="12" t="n">
        <v>46128</v>
      </c>
      <c r="B4" t="inlineStr">
        <is>
          <t>Broad risk-on — equity records, vol compression, DXY sub-99. Iran binary Apr-21.</t>
        </is>
      </c>
      <c r="C4" t="inlineStr">
        <is>
          <t>ambiguous, improving at margin (TSM beat, SPX record)</t>
        </is>
      </c>
      <c r="D4" t="inlineStr">
        <is>
          <t>reflationary (CPI +3.3%, breakevens 2.36%)</t>
        </is>
      </c>
      <c r="E4" t="inlineStr">
        <is>
          <t>on hold 3.50-3.75%; FOMC Apr 28-29</t>
        </is>
      </c>
      <c r="F4" t="inlineStr">
        <is>
          <t>easing (NFCI -0.47; VIX 18.19; MOVE 67.94)</t>
        </is>
      </c>
      <c r="G4" t="inlineStr">
        <is>
          <t>risk-on strengthening — equity records, vol compressing</t>
        </is>
      </c>
      <c r="H4" t="inlineStr">
        <is>
          <t>spot $74.9k, moderate vol</t>
        </is>
      </c>
      <c r="I4" t="inlineStr">
        <is>
          <t>negative funding 46d (crowded shorts); ETF +$411.5M</t>
        </is>
      </c>
      <c r="J4" t="inlineStr">
        <is>
          <t>active addr 470k recovered (+29% from 364k); hash rate 863 EH/s (-16.4%); S improved -1 to 0</t>
        </is>
      </c>
      <c r="K4" t="inlineStr">
        <is>
          <t>Iran ceasefire expiry Apr-21 (binary)</t>
        </is>
      </c>
      <c r="L4" t="inlineStr">
        <is>
          <t>BTC active address recovery sustainability (470k)</t>
        </is>
      </c>
      <c r="M4" t="inlineStr">
        <is>
          <t>Big tech earnings week (TSLA/GOOGL Apr-22, INTC/AMZN Apr-23)</t>
        </is>
      </c>
      <c r="N4" t="inlineStr">
        <is>
          <t>SPY(+3), QQQ(+4), Gold(+3), EWY(+3 open)</t>
        </is>
      </c>
      <c r="O4" t="n">
        <v>4</v>
      </c>
      <c r="P4" t="inlineStr">
        <is>
          <t>market-brief-2026-04-16.md v1</t>
        </is>
      </c>
    </row>
    <row r="5">
      <c r="A5" s="12" t="n">
        <v>46129</v>
      </c>
      <c r="B5" t="inlineStr">
        <is>
          <t>Broad risk-on — equity fresh highs, oil correction on Iran deal progress, vol compression deepening</t>
        </is>
      </c>
      <c r="C5" t="inlineStr">
        <is>
          <t>Ambiguous, improving at margin</t>
        </is>
      </c>
      <c r="D5" t="inlineStr">
        <is>
          <t>Reflationary (oil crash is disinflationary impulse)</t>
        </is>
      </c>
      <c r="E5" t="inlineStr">
        <is>
          <t>On hold 3.50-3.75%</t>
        </is>
      </c>
      <c r="F5" t="inlineStr">
        <is>
          <t>Easing further</t>
        </is>
      </c>
      <c r="G5" t="inlineStr">
        <is>
          <t>Risk-on strengthening</t>
        </is>
      </c>
      <c r="H5" t="inlineStr">
        <is>
          <t>Moderate vol</t>
        </is>
      </c>
      <c r="I5" t="inlineStr">
        <is>
          <t>Negative funding 46+ days</t>
        </is>
      </c>
      <c r="J5" t="inlineStr">
        <is>
          <t>Active addr 470k STALE-WARN; hash rate 1050 EH/s</t>
        </is>
      </c>
      <c r="K5" t="inlineStr">
        <is>
          <t>Oil crash (Brent -9.7% intraday, Iran deal progress)</t>
        </is>
      </c>
      <c r="L5" t="inlineStr">
        <is>
          <t>Big tech earnings cluster Apr-22/23/29</t>
        </is>
      </c>
      <c r="M5" t="inlineStr">
        <is>
          <t>VIX/VIX3M 0.870 contango deepening</t>
        </is>
      </c>
      <c r="N5" t="inlineStr">
        <is>
          <t>SPY(+3), QQQ(+4,open), Gold(+3,open), INTC(+3,open,confirmed)</t>
        </is>
      </c>
      <c r="O5" t="n">
        <v>10</v>
      </c>
      <c r="P5" t="inlineStr">
        <is>
          <t>market-brief-2026-04-17 v3</t>
        </is>
      </c>
    </row>
    <row r="6">
      <c r="A6" s="12" t="n">
        <v>46132</v>
      </c>
      <c r="B6" t="inlineStr">
        <is>
          <t>Risk-on / Reflation; geopolitical-fragile; ceasefire binary Apr-22 = primary unpriced tail</t>
        </is>
      </c>
      <c r="C6" t="inlineStr">
        <is>
          <t>AMBIGUOUS</t>
        </is>
      </c>
      <c r="D6" t="inlineStr">
        <is>
          <t>REFLATION</t>
        </is>
      </c>
      <c r="E6" t="inlineStr">
        <is>
          <t>ON HOLD, hawkish tail</t>
        </is>
      </c>
      <c r="F6" t="inlineStr">
        <is>
          <t>EASING</t>
        </is>
      </c>
      <c r="G6" t="inlineStr">
        <is>
          <t>RISK-ON with geopolitical binary</t>
        </is>
      </c>
      <c r="H6" t="inlineStr">
        <is>
          <t>MODERATE</t>
        </is>
      </c>
      <c r="I6" t="inlineStr">
        <is>
          <t>NEGATIVE (most negative since 2023; squeeze setup)</t>
        </is>
      </c>
      <c r="J6" t="inlineStr">
        <is>
          <t>S=0 (ActiveAddr 396k &lt; 400k threshold)</t>
        </is>
      </c>
      <c r="K6" t="inlineStr">
        <is>
          <t>Brent front-back curve + Iran ceasefire Apr-22</t>
        </is>
      </c>
      <c r="L6" t="inlineStr">
        <is>
          <t>HY OAS 2.85% (financial conditions gate)</t>
        </is>
      </c>
      <c r="M6" t="inlineStr">
        <is>
          <t>VIX/VIX3M 0.944 (vol term structure)</t>
        </is>
      </c>
      <c r="N6" t="inlineStr">
        <is>
          <t>None (SPY |Sum|=+3 active; trade-rec to decide entry)</t>
        </is>
      </c>
      <c r="O6" t="n">
        <v>1</v>
      </c>
      <c r="P6" t="inlineStr">
        <is>
          <t>2026-04-20/market-brief-2026-04-20.md v2</t>
        </is>
      </c>
    </row>
    <row r="7">
      <c r="A7" s="17" t="n">
        <v>46133</v>
      </c>
      <c r="B7" t="inlineStr">
        <is>
          <t>RISK-ON / GEOPOLITICAL-BINARY — IRAN CEASEFIRE EXPIRED (APR-22 UTC+8)</t>
        </is>
      </c>
      <c r="C7" t="inlineStr">
        <is>
          <t>NEUTRAL-TO-POSITIVE</t>
        </is>
      </c>
      <c r="D7" t="inlineStr">
        <is>
          <t>MODERATING-TO-UNCERTAIN</t>
        </is>
      </c>
      <c r="E7" t="inlineStr">
        <is>
          <t>DOVISH-LEAN-FADING</t>
        </is>
      </c>
      <c r="F7" t="inlineStr">
        <is>
          <t>LOOSE-TIGHTENING-AT-MARGIN</t>
        </is>
      </c>
      <c r="G7" t="inlineStr">
        <is>
          <t>RISK-ON-FRAGILE</t>
        </is>
      </c>
      <c r="H7" t="inlineStr">
        <is>
          <t>SUPPORT-HOLD</t>
        </is>
      </c>
      <c r="I7" t="inlineStr">
        <is>
          <t>NEGATIVE-EXTREME</t>
        </is>
      </c>
      <c r="J7" t="inlineStr">
        <is>
          <t>POSITIVE-addr464k&gt;400k</t>
        </is>
      </c>
      <c r="K7" t="inlineStr">
        <is>
          <t>WTI $88/$95 (A) ceasefire binary</t>
        </is>
      </c>
      <c r="L7" t="inlineStr">
        <is>
          <t>VIX 17/20 (B) at pivot 18.86</t>
        </is>
      </c>
      <c r="M7" t="inlineStr">
        <is>
          <t>BTC $75K/$71.2K (A) 4th support test</t>
        </is>
      </c>
      <c r="N7" t="inlineStr">
        <is>
          <t>INTC+4,GOOGL+3,AAPL+3,SPY+3(P009),EWJ+3(P010),BTC+3(gate-blocked)</t>
        </is>
      </c>
      <c r="O7" t="n">
        <v>5</v>
      </c>
      <c r="P7" t="inlineStr">
        <is>
          <t>2026-04-21/market-brief-2026-04-21.md v2</t>
        </is>
      </c>
    </row>
  </sheetData>
  <autoFilter ref="A1:P1"/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6"/>
  <sheetViews>
    <sheetView zoomScaleNormal="100" workbookViewId="0">
      <pane xSplit="1" ySplit="1" topLeftCell="M14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6640625" defaultRowHeight="14.25"/>
  <cols>
    <col width="8" customWidth="1" style="15" min="1" max="1"/>
    <col width="25" customWidth="1" style="15" min="2" max="2"/>
    <col width="40" customWidth="1" style="15" min="3" max="3"/>
    <col width="14" customWidth="1" style="15" min="4" max="5"/>
    <col width="10" customWidth="1" style="15" min="6" max="6"/>
    <col width="14" customWidth="1" style="15" min="7" max="9"/>
    <col width="18" customWidth="1" style="15" min="10" max="10"/>
    <col width="12" customWidth="1" style="15" min="11" max="11"/>
    <col width="20" customWidth="1" style="15" min="12" max="12"/>
    <col width="30" customWidth="1" style="15" min="13" max="13"/>
    <col width="40" customWidth="1" style="15" min="14" max="14"/>
    <col width="12" customWidth="1" style="15" min="15" max="16"/>
    <col width="14" customWidth="1" style="15" min="17" max="18"/>
    <col width="16" customWidth="1" style="15" min="19" max="19"/>
    <col width="12" customWidth="1" style="15" min="20" max="22"/>
    <col width="14" customWidth="1" style="15" min="23" max="23"/>
    <col width="30" customWidth="1" style="15" min="24" max="24"/>
    <col width="20" customWidth="1" style="15" min="25" max="25"/>
    <col width="12" customWidth="1" style="15" min="26" max="26"/>
    <col width="8" customWidth="1" style="15" min="27" max="27"/>
    <col width="30" customWidth="1" style="15" min="28" max="28"/>
    <col width="12" customWidth="1" style="15" min="29" max="30"/>
    <col width="30" customWidth="1" style="15" min="31" max="31"/>
    <col width="12" customWidth="1" style="15" min="32" max="33"/>
    <col width="14" customWidth="1" style="15" min="34" max="34"/>
    <col width="30" customWidth="1" style="15" min="35" max="35"/>
    <col width="40" customWidth="1" style="15" min="36" max="36"/>
  </cols>
  <sheetData>
    <row r="1" ht="35.1" customHeight="1" s="15">
      <c r="A1" s="1" t="inlineStr">
        <is>
          <t>Var_ID</t>
        </is>
      </c>
      <c r="B1" s="1" t="inlineStr">
        <is>
          <t>Name</t>
        </is>
      </c>
      <c r="C1" s="1" t="inlineStr">
        <is>
          <t>Definition</t>
        </is>
      </c>
      <c r="D1" s="1" t="inlineStr">
        <is>
          <t>Asset_Class</t>
        </is>
      </c>
      <c r="E1" s="1" t="inlineStr">
        <is>
          <t>Category</t>
        </is>
      </c>
      <c r="F1" s="1" t="inlineStr">
        <is>
          <t>Horizon</t>
        </is>
      </c>
      <c r="G1" s="1" t="inlineStr">
        <is>
          <t>Use_Type</t>
        </is>
      </c>
      <c r="H1" s="1" t="inlineStr">
        <is>
          <t>Score_Component</t>
        </is>
      </c>
      <c r="I1" s="1" t="inlineStr">
        <is>
          <t>Evidence_Strength</t>
        </is>
      </c>
      <c r="J1" s="1" t="inlineStr">
        <is>
          <t>Status</t>
        </is>
      </c>
      <c r="K1" s="1" t="inlineStr">
        <is>
          <t>Discovery_Date</t>
        </is>
      </c>
      <c r="L1" s="1" t="inlineStr">
        <is>
          <t>Discovery_Source</t>
        </is>
      </c>
      <c r="M1" s="1" t="inlineStr">
        <is>
          <t>Source_Paper</t>
        </is>
      </c>
      <c r="N1" s="1" t="inlineStr">
        <is>
          <t>Intuition</t>
        </is>
      </c>
      <c r="O1" s="1" t="inlineStr">
        <is>
          <t>Peer_Reviewed</t>
        </is>
      </c>
      <c r="P1" s="1" t="inlineStr">
        <is>
          <t>Replicated</t>
        </is>
      </c>
      <c r="Q1" s="1" t="inlineStr">
        <is>
          <t>Mechanism_Grounded</t>
        </is>
      </c>
      <c r="R1" s="1" t="inlineStr">
        <is>
          <t>Independent_Info</t>
        </is>
      </c>
      <c r="S1" s="1" t="inlineStr">
        <is>
          <t>Realtime_Implementable</t>
        </is>
      </c>
      <c r="T1" s="1" t="inlineStr">
        <is>
          <t>Published_Sharpe</t>
        </is>
      </c>
      <c r="U1" s="1" t="inlineStr">
        <is>
          <t>Decay_Haircut_Pct</t>
        </is>
      </c>
      <c r="V1" s="1" t="inlineStr">
        <is>
          <t>Proj_Op_Sharpe</t>
        </is>
      </c>
      <c r="W1" s="1" t="inlineStr">
        <is>
          <t>Correlation_w_Existing</t>
        </is>
      </c>
      <c r="X1" s="1" t="inlineStr">
        <is>
          <t>Redundancy_Notes</t>
        </is>
      </c>
      <c r="Y1" s="1" t="inlineStr">
        <is>
          <t>Data_Source</t>
        </is>
      </c>
      <c r="Z1" s="1" t="inlineStr">
        <is>
          <t>Pull_Frequency</t>
        </is>
      </c>
      <c r="AA1" s="1" t="inlineStr">
        <is>
          <t>Lag</t>
        </is>
      </c>
      <c r="AB1" s="1" t="inlineStr">
        <is>
          <t>Double_Count_Gate</t>
        </is>
      </c>
      <c r="AC1" s="1" t="inlineStr">
        <is>
          <t>Last_Review_Date</t>
        </is>
      </c>
      <c r="AD1" s="1" t="inlineStr">
        <is>
          <t>Next_Review_Date</t>
        </is>
      </c>
      <c r="AE1" s="1" t="inlineStr">
        <is>
          <t>Review_History</t>
        </is>
      </c>
      <c r="AF1" s="1" t="inlineStr">
        <is>
          <t>Promotion_Date</t>
        </is>
      </c>
      <c r="AG1" s="1" t="inlineStr">
        <is>
          <t>Demotion_Date</t>
        </is>
      </c>
      <c r="AH1" s="1" t="inlineStr">
        <is>
          <t>Decision_Moving_Count</t>
        </is>
      </c>
      <c r="AI1" s="1" t="inlineStr">
        <is>
          <t>OOS_Contribution</t>
        </is>
      </c>
      <c r="AJ1" s="1" t="inlineStr">
        <is>
          <t>Notes</t>
        </is>
      </c>
    </row>
    <row r="2" ht="15" customHeight="1" s="15">
      <c r="A2" s="3" t="inlineStr">
        <is>
          <t>V001</t>
        </is>
      </c>
      <c r="B2" s="3" t="inlineStr">
        <is>
          <t>VIX</t>
        </is>
      </c>
      <c r="C2" s="3" t="inlineStr">
        <is>
          <t>CBOE Volatility Index; implied vol on SPX options</t>
        </is>
      </c>
      <c r="D2" s="3" t="inlineStr">
        <is>
          <t>Cross-Asset</t>
        </is>
      </c>
      <c r="E2" s="3" t="inlineStr">
        <is>
          <t>Volatility</t>
        </is>
      </c>
      <c r="F2" s="3" t="inlineStr">
        <is>
          <t>1-4 weeks</t>
        </is>
      </c>
      <c r="G2" s="3" t="inlineStr">
        <is>
          <t>Risk Management</t>
        </is>
      </c>
      <c r="H2" s="3" t="inlineStr">
        <is>
          <t>R</t>
        </is>
      </c>
      <c r="I2" s="3" t="inlineStr">
        <is>
          <t>Grade B</t>
        </is>
      </c>
      <c r="J2" s="3" t="inlineStr">
        <is>
          <t>Grade B</t>
        </is>
      </c>
      <c r="L2" s="3" t="inlineStr">
        <is>
          <t>Foundational</t>
        </is>
      </c>
      <c r="M2" s="3" t="inlineStr">
        <is>
          <t>Whaley (2000) JD; extensive literature</t>
        </is>
      </c>
      <c r="N2" s="3" t="inlineStr">
        <is>
          <t>Fear gauge; high VIX = elevated risk premia, mean-reversion tendency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W2" s="3" t="inlineStr">
        <is>
          <t>Low (&lt;0.3) with HY OAS in normal regimes; high (&gt;0.7) in stress</t>
        </is>
      </c>
      <c r="Y2" s="3" t="inlineStr">
        <is>
          <t>CBOE / Yahoo ^VIX</t>
        </is>
      </c>
      <c r="Z2" s="3" t="inlineStr">
        <is>
          <t>Daily</t>
        </is>
      </c>
      <c r="AA2" s="3" t="inlineStr">
        <is>
          <t>0d</t>
        </is>
      </c>
      <c r="AC2" s="2" t="n">
        <v>46127</v>
      </c>
      <c r="AD2" s="2" t="n">
        <v>46204</v>
      </c>
      <c r="AE2" s="3" t="inlineStr">
        <is>
          <t>Inaugural quarterly review 2026-04-15: RETAIN | 2026-04-18 META: A→B (R-group scale-consistency rule §5.A, plan §2.3)</t>
        </is>
      </c>
      <c r="AG2" t="inlineStr">
        <is>
          <t>2026-04-18</t>
        </is>
      </c>
      <c r="AI2" s="3" t="inlineStr">
        <is>
          <t>Not yet assessed (0 closed signals)</t>
        </is>
      </c>
      <c r="AJ2" s="3" t="inlineStr">
        <is>
          <t>Core R-overlay input. VIX-at-entry conditioning added 2026-04-15. | Downgraded A→B 2026-04-18 — retained for monitoring; not additively scored alongside V027 (R-group scale-consistency §5.A).</t>
        </is>
      </c>
    </row>
    <row r="3" ht="15" customHeight="1" s="15">
      <c r="A3" s="3" t="inlineStr">
        <is>
          <t>V002</t>
        </is>
      </c>
      <c r="B3" s="3" t="inlineStr">
        <is>
          <t>MOVE Index</t>
        </is>
      </c>
      <c r="C3" s="3" t="inlineStr">
        <is>
          <t>Merrill Lynch Option Volatility Estimate; Treasury implied vol</t>
        </is>
      </c>
      <c r="D3" s="3" t="inlineStr">
        <is>
          <t>Cross-Asset</t>
        </is>
      </c>
      <c r="E3" s="3" t="inlineStr">
        <is>
          <t>Volatility</t>
        </is>
      </c>
      <c r="F3" s="3" t="inlineStr">
        <is>
          <t>1-4 weeks</t>
        </is>
      </c>
      <c r="G3" s="3" t="inlineStr">
        <is>
          <t>Risk Management</t>
        </is>
      </c>
      <c r="H3" s="3" t="inlineStr">
        <is>
          <t>R</t>
        </is>
      </c>
      <c r="I3" s="3" t="inlineStr">
        <is>
          <t>Grade A</t>
        </is>
      </c>
      <c r="J3" s="3" t="inlineStr">
        <is>
          <t>Grade A</t>
        </is>
      </c>
      <c r="L3" s="3" t="inlineStr">
        <is>
          <t>Foundational</t>
        </is>
      </c>
      <c r="M3" s="3" t="inlineStr">
        <is>
          <t>Siriwardane (2019) JF</t>
        </is>
      </c>
      <c r="N3" s="3" t="inlineStr">
        <is>
          <t>Bond market stress indicator; leads equity vol by 1-2 weeks in crises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W3" s="3" t="inlineStr">
        <is>
          <t>Moderate with VIX (~0.5 normally, &gt;0.8 in crises)</t>
        </is>
      </c>
      <c r="Y3" s="3" t="inlineStr">
        <is>
          <t>Refinitiv / Yahoo ^MOVE</t>
        </is>
      </c>
      <c r="Z3" s="3" t="inlineStr">
        <is>
          <t>Daily</t>
        </is>
      </c>
      <c r="AA3" s="3" t="inlineStr">
        <is>
          <t>0d</t>
        </is>
      </c>
      <c r="AB3" s="3" t="inlineStr">
        <is>
          <t>Correlated with VIX in stress; take more negative signal</t>
        </is>
      </c>
      <c r="AC3" s="2" t="n">
        <v>46127</v>
      </c>
      <c r="AD3" s="2" t="n">
        <v>46204</v>
      </c>
      <c r="AE3" s="3" t="inlineStr">
        <is>
          <t>Quarterly 2026-04-15: RETAIN</t>
        </is>
      </c>
    </row>
    <row r="4" ht="15" customHeight="1" s="15">
      <c r="A4" s="3" t="inlineStr">
        <is>
          <t>V003</t>
        </is>
      </c>
      <c r="B4" s="3" t="inlineStr">
        <is>
          <t>DXY (Dollar Index)</t>
        </is>
      </c>
      <c r="C4" s="3" t="inlineStr">
        <is>
          <t>ICE US Dollar Index; weighted basket</t>
        </is>
      </c>
      <c r="D4" s="3" t="inlineStr">
        <is>
          <t>Cross-Asset</t>
        </is>
      </c>
      <c r="E4" s="3" t="inlineStr">
        <is>
          <t>Currency</t>
        </is>
      </c>
      <c r="F4" s="3" t="inlineStr">
        <is>
          <t>1-3 months</t>
        </is>
      </c>
      <c r="G4" s="3" t="inlineStr">
        <is>
          <t>Directional</t>
        </is>
      </c>
      <c r="H4" s="3" t="inlineStr">
        <is>
          <t>S</t>
        </is>
      </c>
      <c r="I4" s="3" t="inlineStr">
        <is>
          <t>Grade A</t>
        </is>
      </c>
      <c r="J4" s="3" t="inlineStr">
        <is>
          <t>Grade A</t>
        </is>
      </c>
      <c r="L4" s="3" t="inlineStr">
        <is>
          <t>Foundational</t>
        </is>
      </c>
      <c r="M4" s="3" t="inlineStr">
        <is>
          <t>Verdelhan (2018) JF</t>
        </is>
      </c>
      <c r="N4" s="3" t="inlineStr">
        <is>
          <t>Strong dollar = headwind for commodities, EM, risk assets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W4" s="3" t="inlineStr">
        <is>
          <t>Moderate inverse with Gold (~-0.6), Brent (~-0.4)</t>
        </is>
      </c>
      <c r="Y4" s="3" t="inlineStr">
        <is>
          <t>ICE / Yahoo DX-Y.NYB</t>
        </is>
      </c>
      <c r="Z4" s="3" t="inlineStr">
        <is>
          <t>Daily</t>
        </is>
      </c>
      <c r="AA4" s="3" t="inlineStr">
        <is>
          <t>0d</t>
        </is>
      </c>
      <c r="AC4" s="2" t="n">
        <v>46127</v>
      </c>
      <c r="AD4" s="2" t="n">
        <v>46204</v>
      </c>
      <c r="AE4" s="3" t="inlineStr">
        <is>
          <t>Quarterly 2026-04-15: RETAIN</t>
        </is>
      </c>
    </row>
    <row r="5" ht="15" customHeight="1" s="15">
      <c r="A5" s="3" t="inlineStr">
        <is>
          <t>V004</t>
        </is>
      </c>
      <c r="B5" s="3" t="inlineStr">
        <is>
          <t>HY OAS</t>
        </is>
      </c>
      <c r="C5" s="3" t="inlineStr">
        <is>
          <t>High Yield Option-Adjusted Spread; BAMLH0A0HYM2</t>
        </is>
      </c>
      <c r="D5" s="3" t="inlineStr">
        <is>
          <t>Cross-Asset</t>
        </is>
      </c>
      <c r="E5" s="3" t="inlineStr">
        <is>
          <t>Credit</t>
        </is>
      </c>
      <c r="F5" s="3" t="inlineStr">
        <is>
          <t>1-3 months</t>
        </is>
      </c>
      <c r="G5" s="3" t="inlineStr">
        <is>
          <t>Risk Management</t>
        </is>
      </c>
      <c r="H5" s="3" t="inlineStr">
        <is>
          <t>R</t>
        </is>
      </c>
      <c r="I5" s="3" t="inlineStr">
        <is>
          <t>Grade B</t>
        </is>
      </c>
      <c r="J5" s="3" t="inlineStr">
        <is>
          <t>Grade B</t>
        </is>
      </c>
      <c r="L5" s="3" t="inlineStr">
        <is>
          <t>Foundational</t>
        </is>
      </c>
      <c r="M5" s="3" t="inlineStr">
        <is>
          <t>Gilchrist-Zakrajsek (2012) AER</t>
        </is>
      </c>
      <c r="N5" s="3" t="inlineStr">
        <is>
          <t>Credit stress gauge; widening = risk-off, financial conditions tightening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W5" s="3" t="inlineStr">
        <is>
          <t>0.65-0.75 with intermediary capital post-2008</t>
        </is>
      </c>
      <c r="X5" s="3" t="inlineStr">
        <is>
          <t>Double-count gate with intermediary capital</t>
        </is>
      </c>
      <c r="Y5" s="3" t="inlineStr">
        <is>
          <t>FRED BAMLH0A0HYM2</t>
        </is>
      </c>
      <c r="Z5" s="3" t="inlineStr">
        <is>
          <t>Daily</t>
        </is>
      </c>
      <c r="AA5" s="3" t="inlineStr">
        <is>
          <t>1d</t>
        </is>
      </c>
      <c r="AB5" s="3" t="inlineStr">
        <is>
          <t>If both HY OAS and intermediary cap flag stress, take more negative — do not sum</t>
        </is>
      </c>
      <c r="AC5" s="2" t="n">
        <v>46127</v>
      </c>
      <c r="AD5" s="2" t="n">
        <v>46204</v>
      </c>
      <c r="AE5" s="3" t="inlineStr">
        <is>
          <t>Quarterly 2026-04-15: RETAIN | 2026-04-18 META: A→B (R-group scale-consistency rule §5.A, plan §2.3)</t>
        </is>
      </c>
      <c r="AG5" t="inlineStr">
        <is>
          <t>2026-04-18</t>
        </is>
      </c>
      <c r="AJ5" t="inlineStr">
        <is>
          <t>Downgraded A→B 2026-04-18 — retained for monitoring; not additively scored alongside V027 (R-group scale-consistency §5.A).</t>
        </is>
      </c>
    </row>
    <row r="6" ht="15" customHeight="1" s="15">
      <c r="A6" s="3" t="inlineStr">
        <is>
          <t>V005</t>
        </is>
      </c>
      <c r="B6" s="3" t="inlineStr">
        <is>
          <t>NFCI</t>
        </is>
      </c>
      <c r="C6" s="3" t="inlineStr">
        <is>
          <t>Chicago Fed National Financial Conditions Index</t>
        </is>
      </c>
      <c r="D6" s="3" t="inlineStr">
        <is>
          <t>Cross-Asset</t>
        </is>
      </c>
      <c r="E6" s="3" t="inlineStr">
        <is>
          <t>Financial conditions</t>
        </is>
      </c>
      <c r="F6" s="3" t="inlineStr">
        <is>
          <t>1-3 months</t>
        </is>
      </c>
      <c r="G6" s="3" t="inlineStr">
        <is>
          <t>Risk Management</t>
        </is>
      </c>
      <c r="H6" s="3" t="inlineStr">
        <is>
          <t>R</t>
        </is>
      </c>
      <c r="I6" s="3" t="inlineStr">
        <is>
          <t>Grade A</t>
        </is>
      </c>
      <c r="J6" s="3" t="inlineStr">
        <is>
          <t>Grade A</t>
        </is>
      </c>
      <c r="L6" s="3" t="inlineStr">
        <is>
          <t>Foundational</t>
        </is>
      </c>
      <c r="M6" s="3" t="inlineStr">
        <is>
          <t>Brave-Butters (2012)</t>
        </is>
      </c>
      <c r="N6" s="3" t="inlineStr">
        <is>
          <t>Composite financial conditions; negative = easy, positive = tight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Y6" s="3" t="inlineStr">
        <is>
          <t>Chicago Fed weekly CSV</t>
        </is>
      </c>
      <c r="Z6" s="3" t="inlineStr">
        <is>
          <t>Weekly</t>
        </is>
      </c>
      <c r="AA6" s="3" t="inlineStr">
        <is>
          <t>3-5d</t>
        </is>
      </c>
      <c r="AC6" s="2" t="n">
        <v>46127</v>
      </c>
      <c r="AD6" s="2" t="n">
        <v>46204</v>
      </c>
      <c r="AE6" s="3" t="inlineStr">
        <is>
          <t>Quarterly 2026-04-15: RETAIN</t>
        </is>
      </c>
    </row>
    <row r="7" ht="15" customHeight="1" s="15">
      <c r="A7" s="3" t="inlineStr">
        <is>
          <t>V006</t>
        </is>
      </c>
      <c r="B7" s="3" t="inlineStr">
        <is>
          <t>UST 2Y/10Y yields</t>
        </is>
      </c>
      <c r="C7" s="3" t="inlineStr">
        <is>
          <t>US Treasury yields DGS2/DGS10</t>
        </is>
      </c>
      <c r="D7" s="3" t="inlineStr">
        <is>
          <t>Rates</t>
        </is>
      </c>
      <c r="E7" s="3" t="inlineStr">
        <is>
          <t>Yield curve</t>
        </is>
      </c>
      <c r="F7" s="3" t="inlineStr">
        <is>
          <t>1-3 months</t>
        </is>
      </c>
      <c r="G7" s="3" t="inlineStr">
        <is>
          <t>Structural</t>
        </is>
      </c>
      <c r="H7" s="3" t="inlineStr">
        <is>
          <t>S</t>
        </is>
      </c>
      <c r="I7" s="3" t="inlineStr">
        <is>
          <t>Grade B</t>
        </is>
      </c>
      <c r="J7" s="3" t="inlineStr">
        <is>
          <t>Grade B</t>
        </is>
      </c>
      <c r="L7" s="3" t="inlineStr">
        <is>
          <t>Foundational</t>
        </is>
      </c>
      <c r="M7" s="3" t="inlineStr">
        <is>
          <t>Campbell-Shiller (1991); Adrian-Crump-Moench (2013)</t>
        </is>
      </c>
      <c r="N7" s="3" t="inlineStr">
        <is>
          <t>Term structure slope signals recession/expansion expectations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Y7" s="3" t="inlineStr">
        <is>
          <t>FRED DGS2/DGS10</t>
        </is>
      </c>
      <c r="Z7" s="3" t="inlineStr">
        <is>
          <t>Daily</t>
        </is>
      </c>
      <c r="AA7" s="3" t="inlineStr">
        <is>
          <t>1d</t>
        </is>
      </c>
      <c r="AC7" s="2" t="inlineStr">
        <is>
          <t>2026-04-18</t>
        </is>
      </c>
      <c r="AD7" s="2" t="n">
        <v>46204</v>
      </c>
      <c r="AE7" s="3" t="inlineStr">
        <is>
          <t>Quarterly 2026-04-15: RETAIN</t>
        </is>
      </c>
      <c r="AJ7" t="inlineStr">
        <is>
          <t xml:space="preserve"> | A→B downgrade 2026-04-18 BNMA audit.</t>
        </is>
      </c>
    </row>
    <row r="8" ht="15" customHeight="1" s="15">
      <c r="A8" s="3" t="inlineStr">
        <is>
          <t>V007</t>
        </is>
      </c>
      <c r="B8" s="3" t="inlineStr">
        <is>
          <t>Real yield / Breakevens</t>
        </is>
      </c>
      <c r="C8" s="3" t="inlineStr">
        <is>
          <t>10Y TIPS real yield (DFII10) and breakeven (T10YIE)</t>
        </is>
      </c>
      <c r="D8" s="3" t="inlineStr">
        <is>
          <t>Rates</t>
        </is>
      </c>
      <c r="E8" s="3" t="inlineStr">
        <is>
          <t>Inflation expectations</t>
        </is>
      </c>
      <c r="F8" s="3" t="inlineStr">
        <is>
          <t>1-3 months</t>
        </is>
      </c>
      <c r="G8" s="3" t="inlineStr">
        <is>
          <t>Structural</t>
        </is>
      </c>
      <c r="H8" s="3" t="inlineStr">
        <is>
          <t>S</t>
        </is>
      </c>
      <c r="I8" s="3" t="inlineStr">
        <is>
          <t>Grade B</t>
        </is>
      </c>
      <c r="J8" s="3" t="inlineStr">
        <is>
          <t>Grade B</t>
        </is>
      </c>
      <c r="L8" s="3" t="inlineStr">
        <is>
          <t>Foundational</t>
        </is>
      </c>
      <c r="M8" s="3" t="inlineStr">
        <is>
          <t>D'Amico et al. (2018)</t>
        </is>
      </c>
      <c r="N8" s="3" t="inlineStr">
        <is>
          <t>Real yields drive gold/commodity valuation; breakevens signal inflation expectations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W8" s="3" t="inlineStr">
        <is>
          <t>High with Gold (~-0.84 historically, broken post-2022)</t>
        </is>
      </c>
      <c r="X8" s="3" t="inlineStr">
        <is>
          <t>R² with Gold collapsed from 84% to 3-7% due to central bank buying</t>
        </is>
      </c>
      <c r="Y8" s="3" t="inlineStr">
        <is>
          <t>FRED DFII10/T10YIE</t>
        </is>
      </c>
      <c r="Z8" s="3" t="inlineStr">
        <is>
          <t>Daily</t>
        </is>
      </c>
      <c r="AA8" s="3" t="inlineStr">
        <is>
          <t>1d</t>
        </is>
      </c>
      <c r="AC8" s="2" t="inlineStr">
        <is>
          <t>2026-04-18</t>
        </is>
      </c>
      <c r="AD8" s="2" t="n">
        <v>46204</v>
      </c>
      <c r="AE8" s="3" t="inlineStr">
        <is>
          <t>Quarterly 2026-04-15: RETAIN. Note: Gold R² regime break flagged in Trad core</t>
        </is>
      </c>
      <c r="AJ8" t="inlineStr">
        <is>
          <t xml:space="preserve"> | A→B downgrade 2026-04-18 BNMA audit.</t>
        </is>
      </c>
    </row>
    <row r="9" ht="15" customHeight="1" s="15">
      <c r="A9" s="3" t="inlineStr">
        <is>
          <t>V008</t>
        </is>
      </c>
      <c r="B9" s="3" t="inlineStr">
        <is>
          <t>ACM Term Premium 10Y</t>
        </is>
      </c>
      <c r="C9" s="3" t="inlineStr">
        <is>
          <t>Adrian-Crump-Moench term premium estimate</t>
        </is>
      </c>
      <c r="D9" s="3" t="inlineStr">
        <is>
          <t>Rates</t>
        </is>
      </c>
      <c r="E9" s="3" t="inlineStr">
        <is>
          <t>Term premium</t>
        </is>
      </c>
      <c r="F9" s="3" t="inlineStr">
        <is>
          <t>3-12 months</t>
        </is>
      </c>
      <c r="G9" s="3" t="inlineStr">
        <is>
          <t>Structural</t>
        </is>
      </c>
      <c r="H9" s="3" t="inlineStr">
        <is>
          <t>S</t>
        </is>
      </c>
      <c r="I9" s="3" t="inlineStr">
        <is>
          <t>Grade B</t>
        </is>
      </c>
      <c r="J9" s="3" t="inlineStr">
        <is>
          <t>Grade B</t>
        </is>
      </c>
      <c r="L9" s="3" t="inlineStr">
        <is>
          <t>Foundational</t>
        </is>
      </c>
      <c r="M9" s="3" t="inlineStr">
        <is>
          <t>Adrian-Crump-Moench (2013) JFE</t>
        </is>
      </c>
      <c r="N9" s="3" t="inlineStr">
        <is>
          <t>Duration risk compensation; rising TP = tightening, falling = easing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Y9" s="3" t="inlineStr">
        <is>
          <t>NY Fed ACM CSV monthly</t>
        </is>
      </c>
      <c r="Z9" s="3" t="inlineStr">
        <is>
          <t>Monthly</t>
        </is>
      </c>
      <c r="AA9" s="3" t="inlineStr">
        <is>
          <t>2-4w</t>
        </is>
      </c>
      <c r="AC9" s="2" t="inlineStr">
        <is>
          <t>2026-04-18</t>
        </is>
      </c>
      <c r="AD9" s="2" t="n">
        <v>46204</v>
      </c>
      <c r="AE9" s="3" t="inlineStr">
        <is>
          <t>Quarterly 2026-04-15: DATA GAP — frequently MISSING (monthly lag)</t>
        </is>
      </c>
      <c r="AJ9" s="3" t="inlineStr">
        <is>
          <t>Persistent MISSING issue due to monthly publication lag | A→B downgrade 2026-04-18 BNMA audit.</t>
        </is>
      </c>
    </row>
    <row r="10" ht="15" customHeight="1" s="15">
      <c r="A10" s="3" t="inlineStr">
        <is>
          <t>V009</t>
        </is>
      </c>
      <c r="B10" s="3" t="inlineStr">
        <is>
          <t>Time-series momentum (TSMOM)</t>
        </is>
      </c>
      <c r="C10" s="3" t="inlineStr">
        <is>
          <t>1m/3m/12m price momentum for indices/ETFs/commodities/FX/crypto</t>
        </is>
      </c>
      <c r="D10" s="3" t="inlineStr">
        <is>
          <t>All</t>
        </is>
      </c>
      <c r="E10" s="3" t="inlineStr">
        <is>
          <t>Momentum</t>
        </is>
      </c>
      <c r="F10" s="3" t="inlineStr">
        <is>
          <t>1-4 weeks</t>
        </is>
      </c>
      <c r="G10" s="3" t="inlineStr">
        <is>
          <t>Timing</t>
        </is>
      </c>
      <c r="H10" s="3" t="inlineStr">
        <is>
          <t>T</t>
        </is>
      </c>
      <c r="I10" s="3" t="inlineStr">
        <is>
          <t>Grade A</t>
        </is>
      </c>
      <c r="J10" s="3" t="inlineStr">
        <is>
          <t>Grade A</t>
        </is>
      </c>
      <c r="L10" s="3" t="inlineStr">
        <is>
          <t>Foundational</t>
        </is>
      </c>
      <c r="M10" s="3" t="inlineStr">
        <is>
          <t>Moskowitz-Ooi-Pedersen (2012) JFE</t>
        </is>
      </c>
      <c r="N10" s="3" t="inlineStr">
        <is>
          <t>Trend-following across asset classes; positive autocorrelation at 1-12m horizons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n">
        <v>0.9</v>
      </c>
      <c r="U10" s="3" t="n">
        <v>40</v>
      </c>
      <c r="V10" s="3" t="n">
        <v>0.54</v>
      </c>
      <c r="Y10" s="3" t="inlineStr">
        <is>
          <t>Derived from price series</t>
        </is>
      </c>
      <c r="Z10" s="3" t="inlineStr">
        <is>
          <t>Daily</t>
        </is>
      </c>
      <c r="AA10" s="3" t="inlineStr">
        <is>
          <t>0d</t>
        </is>
      </c>
      <c r="AB10" s="3" t="inlineStr">
        <is>
          <t>For single stocks: prefer residual momentum (V026) over raw TSMOM</t>
        </is>
      </c>
      <c r="AC10" s="2" t="n">
        <v>46127</v>
      </c>
      <c r="AD10" s="2" t="n">
        <v>46204</v>
      </c>
      <c r="AE10" s="3" t="inlineStr">
        <is>
          <t>Quarterly 2026-04-15: RETAIN</t>
        </is>
      </c>
    </row>
    <row r="11" ht="15" customHeight="1" s="15">
      <c r="A11" s="3" t="inlineStr">
        <is>
          <t>V010</t>
        </is>
      </c>
      <c r="B11" s="3" t="inlineStr">
        <is>
          <t>Revision breadth</t>
        </is>
      </c>
      <c r="C11" s="3" t="inlineStr">
        <is>
          <t>Net earnings revision breadth across analyst estimates</t>
        </is>
      </c>
      <c r="D11" s="3" t="inlineStr">
        <is>
          <t>Equities</t>
        </is>
      </c>
      <c r="E11" s="3" t="inlineStr">
        <is>
          <t>Earnings</t>
        </is>
      </c>
      <c r="F11" s="3" t="inlineStr">
        <is>
          <t>1-4 weeks</t>
        </is>
      </c>
      <c r="G11" s="3" t="inlineStr">
        <is>
          <t>Timing</t>
        </is>
      </c>
      <c r="H11" s="3" t="inlineStr">
        <is>
          <t>T</t>
        </is>
      </c>
      <c r="I11" s="3" t="inlineStr">
        <is>
          <t>Grade A</t>
        </is>
      </c>
      <c r="J11" s="3" t="inlineStr">
        <is>
          <t>Grade A</t>
        </is>
      </c>
      <c r="L11" s="3" t="inlineStr">
        <is>
          <t>Foundational</t>
        </is>
      </c>
      <c r="M11" s="3" t="inlineStr">
        <is>
          <t>Gleason-Lee (2003); multiple replication studies</t>
        </is>
      </c>
      <c r="N11" s="3" t="inlineStr">
        <is>
          <t>Analyst revisions contain information; breadth captures consensus shift direction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Y11" s="3" t="inlineStr">
        <is>
          <t>Zacks / I/B/E/S via SimplyWallSt</t>
        </is>
      </c>
      <c r="Z11" s="3" t="inlineStr">
        <is>
          <t>Weekly</t>
        </is>
      </c>
      <c r="AA11" s="3" t="inlineStr">
        <is>
          <t>1-3d</t>
        </is>
      </c>
      <c r="AC11" s="2" t="n">
        <v>46127</v>
      </c>
      <c r="AD11" s="2" t="n">
        <v>46204</v>
      </c>
      <c r="AE11" s="3" t="inlineStr">
        <is>
          <t>Quarterly 2026-04-15: RETAIN</t>
        </is>
      </c>
    </row>
    <row r="12" ht="15" customHeight="1" s="15">
      <c r="A12" s="3" t="inlineStr">
        <is>
          <t>V011</t>
        </is>
      </c>
      <c r="B12" s="3" t="inlineStr">
        <is>
          <t>Brent M1-M3 curve slope</t>
        </is>
      </c>
      <c r="C12" s="3" t="inlineStr">
        <is>
          <t>Front-month to third-month futures curve shape</t>
        </is>
      </c>
      <c r="D12" s="3" t="inlineStr">
        <is>
          <t>Commodities</t>
        </is>
      </c>
      <c r="E12" s="3" t="inlineStr">
        <is>
          <t>Term structure</t>
        </is>
      </c>
      <c r="F12" s="3" t="inlineStr">
        <is>
          <t>1-4 weeks</t>
        </is>
      </c>
      <c r="G12" s="3" t="inlineStr">
        <is>
          <t>Structural</t>
        </is>
      </c>
      <c r="H12" s="3" t="inlineStr">
        <is>
          <t>S</t>
        </is>
      </c>
      <c r="I12" s="3" t="inlineStr">
        <is>
          <t>Grade A</t>
        </is>
      </c>
      <c r="J12" s="3" t="inlineStr">
        <is>
          <t>Grade A</t>
        </is>
      </c>
      <c r="L12" s="3" t="inlineStr">
        <is>
          <t>Foundational</t>
        </is>
      </c>
      <c r="M12" s="3" t="inlineStr">
        <is>
          <t>Gorton-Hayashi-Rouwenhorst (2013) JF</t>
        </is>
      </c>
      <c r="N12" s="3" t="inlineStr">
        <is>
          <t>Backwardation = supply tightness, contango = oversupply; core commodity structural signal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W12" s="3" t="inlineStr">
        <is>
          <t>Supplemented by basis-momentum (V028)</t>
        </is>
      </c>
      <c r="X12" s="3" t="inlineStr">
        <is>
          <t>Static slope + basis-momentum = full curve picture</t>
        </is>
      </c>
      <c r="Y12" s="3" t="inlineStr">
        <is>
          <t>CME/ICE settlements, Barchart</t>
        </is>
      </c>
      <c r="Z12" s="3" t="inlineStr">
        <is>
          <t>Daily</t>
        </is>
      </c>
      <c r="AA12" s="3" t="inlineStr">
        <is>
          <t>0d</t>
        </is>
      </c>
      <c r="AB12" s="3" t="inlineStr">
        <is>
          <t>Divergence cap with basis-momentum: if static slope=+1 but basis-mom flattening, cap S at 0</t>
        </is>
      </c>
      <c r="AC12" s="2" t="n">
        <v>46127</v>
      </c>
      <c r="AD12" s="2" t="n">
        <v>46204</v>
      </c>
      <c r="AE12" s="3" t="inlineStr">
        <is>
          <t>Quarterly 2026-04-15: RETAIN</t>
        </is>
      </c>
    </row>
    <row r="13" ht="15" customHeight="1" s="15">
      <c r="A13" s="3" t="inlineStr">
        <is>
          <t>V012</t>
        </is>
      </c>
      <c r="B13" s="3" t="inlineStr">
        <is>
          <t>BTC active addresses</t>
        </is>
      </c>
      <c r="C13" s="3" t="inlineStr">
        <is>
          <t>Daily unique Bitcoin addresses transacting on-chain</t>
        </is>
      </c>
      <c r="D13" s="3" t="inlineStr">
        <is>
          <t>Crypto</t>
        </is>
      </c>
      <c r="E13" s="3" t="inlineStr">
        <is>
          <t>Network activity</t>
        </is>
      </c>
      <c r="F13" s="3" t="inlineStr">
        <is>
          <t>1-3 months</t>
        </is>
      </c>
      <c r="G13" s="3" t="inlineStr">
        <is>
          <t>Structural</t>
        </is>
      </c>
      <c r="H13" s="3" t="inlineStr">
        <is>
          <t>S</t>
        </is>
      </c>
      <c r="I13" s="3" t="inlineStr">
        <is>
          <t>Grade A</t>
        </is>
      </c>
      <c r="J13" s="3" t="inlineStr">
        <is>
          <t>Grade A</t>
        </is>
      </c>
      <c r="L13" s="3" t="inlineStr">
        <is>
          <t>Foundational</t>
        </is>
      </c>
      <c r="M13" s="3" t="inlineStr">
        <is>
          <t>Liu-Tsyvinski (2021) JF; Cong-He-Li (2021)</t>
        </is>
      </c>
      <c r="N13" s="3" t="inlineStr">
        <is>
          <t>Network usage proxy; declining addresses = declining utility, bearish structural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Y13" s="3" t="inlineStr">
        <is>
          <t>blockchain.com / Glassnode free</t>
        </is>
      </c>
      <c r="Z13" s="3" t="inlineStr">
        <is>
          <t>Daily</t>
        </is>
      </c>
      <c r="AA13" s="3" t="inlineStr">
        <is>
          <t>0-1d</t>
        </is>
      </c>
      <c r="AC13" s="2" t="n">
        <v>46127</v>
      </c>
      <c r="AD13" s="2" t="n">
        <v>46204</v>
      </c>
      <c r="AE13" s="3" t="inlineStr">
        <is>
          <t>Quarterly 2026-04-15: RETAIN. Currently STALE (Apr-12, 364k)</t>
        </is>
      </c>
      <c r="AJ13" s="3" t="inlineStr">
        <is>
          <t>Blocks BTC long: S=-1 when addresses collapse</t>
        </is>
      </c>
    </row>
    <row r="14" ht="15" customHeight="1" s="15">
      <c r="A14" s="3" t="inlineStr">
        <is>
          <t>V013</t>
        </is>
      </c>
      <c r="B14" s="3" t="inlineStr">
        <is>
          <t>BTC hash rate</t>
        </is>
      </c>
      <c r="C14" s="3" t="inlineStr">
        <is>
          <t>Total network hash rate (EH/s)</t>
        </is>
      </c>
      <c r="D14" s="3" t="inlineStr">
        <is>
          <t>Crypto</t>
        </is>
      </c>
      <c r="E14" s="3" t="inlineStr">
        <is>
          <t>Mining/Security</t>
        </is>
      </c>
      <c r="F14" s="3" t="inlineStr">
        <is>
          <t>Structural</t>
        </is>
      </c>
      <c r="G14" s="3" t="inlineStr">
        <is>
          <t>Structural</t>
        </is>
      </c>
      <c r="H14" s="3" t="inlineStr">
        <is>
          <t>S</t>
        </is>
      </c>
      <c r="I14" s="3" t="inlineStr">
        <is>
          <t>Grade A</t>
        </is>
      </c>
      <c r="J14" s="3" t="inlineStr">
        <is>
          <t>Grade A</t>
        </is>
      </c>
      <c r="L14" s="3" t="inlineStr">
        <is>
          <t>Foundational</t>
        </is>
      </c>
      <c r="M14" s="3" t="inlineStr">
        <is>
          <t>Cong-He-Li (2021)</t>
        </is>
      </c>
      <c r="N14" s="3" t="inlineStr">
        <is>
          <t>Security proxy; ATH hash rate = strong miner commitment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Y14" s="3" t="inlineStr">
        <is>
          <t>blockchain.com</t>
        </is>
      </c>
      <c r="Z14" s="3" t="inlineStr">
        <is>
          <t>Daily</t>
        </is>
      </c>
      <c r="AA14" s="3" t="inlineStr">
        <is>
          <t>0-1d</t>
        </is>
      </c>
      <c r="AC14" s="2" t="n">
        <v>46127</v>
      </c>
      <c r="AD14" s="2" t="n">
        <v>46204</v>
      </c>
      <c r="AE14" s="3" t="inlineStr">
        <is>
          <t>Quarterly 2026-04-15: RETAIN</t>
        </is>
      </c>
    </row>
    <row r="15" ht="15" customHeight="1" s="15">
      <c r="A15" s="3" t="inlineStr">
        <is>
          <t>V014</t>
        </is>
      </c>
      <c r="B15" s="3" t="inlineStr">
        <is>
          <t>BTC exchange netflows</t>
        </is>
      </c>
      <c r="C15" s="3" t="inlineStr">
        <is>
          <t>Net BTC flow into/out of exchanges (CryptoQuant)</t>
        </is>
      </c>
      <c r="D15" s="3" t="inlineStr">
        <is>
          <t>Crypto</t>
        </is>
      </c>
      <c r="E15" s="3" t="inlineStr">
        <is>
          <t>Flow</t>
        </is>
      </c>
      <c r="F15" s="3" t="inlineStr">
        <is>
          <t>1-5 days</t>
        </is>
      </c>
      <c r="G15" s="3" t="inlineStr">
        <is>
          <t>Timing</t>
        </is>
      </c>
      <c r="H15" s="3" t="inlineStr">
        <is>
          <t>T</t>
        </is>
      </c>
      <c r="I15" s="3" t="inlineStr">
        <is>
          <t>Grade A</t>
        </is>
      </c>
      <c r="J15" s="3" t="inlineStr">
        <is>
          <t>Grade A</t>
        </is>
      </c>
      <c r="L15" s="3" t="inlineStr">
        <is>
          <t>Foundational</t>
        </is>
      </c>
      <c r="M15" s="3" t="inlineStr">
        <is>
          <t>Aloosh-Ouzan-Shahzad (2023)</t>
        </is>
      </c>
      <c r="N15" s="3" t="inlineStr">
        <is>
          <t>Net outflow = accumulation (bullish); net inflow = distribution (bearish)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Y15" s="3" t="inlineStr">
        <is>
          <t>CryptoQuant free tier</t>
        </is>
      </c>
      <c r="Z15" s="3" t="inlineStr">
        <is>
          <t>Daily</t>
        </is>
      </c>
      <c r="AA15" s="3" t="inlineStr">
        <is>
          <t>0-1d</t>
        </is>
      </c>
      <c r="AC15" s="2" t="n">
        <v>46127</v>
      </c>
      <c r="AD15" s="2" t="n">
        <v>46204</v>
      </c>
      <c r="AE15" s="3" t="inlineStr">
        <is>
          <t>Quarterly 2026-04-15: RETAIN</t>
        </is>
      </c>
    </row>
    <row r="16" ht="15" customHeight="1" s="15">
      <c r="A16" s="3" t="inlineStr">
        <is>
          <t>V015</t>
        </is>
      </c>
      <c r="B16" s="3" t="inlineStr">
        <is>
          <t>BTC realized vol</t>
        </is>
      </c>
      <c r="C16" s="3" t="inlineStr">
        <is>
          <t>Rolling 30d realized volatility from OHLC</t>
        </is>
      </c>
      <c r="D16" s="3" t="inlineStr">
        <is>
          <t>Crypto</t>
        </is>
      </c>
      <c r="E16" s="3" t="inlineStr">
        <is>
          <t>Volatility</t>
        </is>
      </c>
      <c r="F16" s="3" t="inlineStr">
        <is>
          <t>1-4 weeks</t>
        </is>
      </c>
      <c r="G16" s="3" t="inlineStr">
        <is>
          <t>Risk Management</t>
        </is>
      </c>
      <c r="H16" s="3" t="inlineStr">
        <is>
          <t>R</t>
        </is>
      </c>
      <c r="I16" s="3" t="inlineStr">
        <is>
          <t>Grade A</t>
        </is>
      </c>
      <c r="J16" s="3" t="inlineStr">
        <is>
          <t>Grade A</t>
        </is>
      </c>
      <c r="L16" s="3" t="inlineStr">
        <is>
          <t>Foundational</t>
        </is>
      </c>
      <c r="M16" s="3" t="inlineStr">
        <is>
          <t>Liu-Tsyvinski (2021) JF</t>
        </is>
      </c>
      <c r="N16" s="3" t="inlineStr">
        <is>
          <t>Vol regime identification; high realized vol = crash-prone, apply larger stops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Y16" s="3" t="inlineStr">
        <is>
          <t>Derived from BTC OHLC (30d)</t>
        </is>
      </c>
      <c r="Z16" s="3" t="inlineStr">
        <is>
          <t>Daily</t>
        </is>
      </c>
      <c r="AA16" s="3" t="inlineStr">
        <is>
          <t>0d</t>
        </is>
      </c>
      <c r="AC16" s="2" t="n">
        <v>46127</v>
      </c>
      <c r="AD16" s="2" t="n">
        <v>46204</v>
      </c>
      <c r="AE16" s="3" t="inlineStr">
        <is>
          <t>Quarterly 2026-04-15: RETAIN</t>
        </is>
      </c>
    </row>
    <row r="17" ht="15" customHeight="1" s="15">
      <c r="A17" s="3" t="inlineStr">
        <is>
          <t>V026</t>
        </is>
      </c>
      <c r="B17" s="3" t="inlineStr">
        <is>
          <t>Residual momentum (FF5)</t>
        </is>
      </c>
      <c r="C17" s="3" t="inlineStr">
        <is>
          <t>12m return residualized against Fama-French 5-factor model for single stocks</t>
        </is>
      </c>
      <c r="D17" s="3" t="inlineStr">
        <is>
          <t>Equities</t>
        </is>
      </c>
      <c r="E17" s="3" t="inlineStr">
        <is>
          <t>Factor-adjusted momentum</t>
        </is>
      </c>
      <c r="F17" s="3" t="inlineStr">
        <is>
          <t>1-3 months</t>
        </is>
      </c>
      <c r="G17" s="3" t="inlineStr">
        <is>
          <t>Timing</t>
        </is>
      </c>
      <c r="H17" s="3" t="inlineStr">
        <is>
          <t>T</t>
        </is>
      </c>
      <c r="I17" s="3" t="inlineStr">
        <is>
          <t>Grade A</t>
        </is>
      </c>
      <c r="J17" s="3" t="inlineStr">
        <is>
          <t>Approved</t>
        </is>
      </c>
      <c r="K17" s="2" t="n">
        <v>46126</v>
      </c>
      <c r="L17" s="3" t="inlineStr">
        <is>
          <t>Methodology audit</t>
        </is>
      </c>
      <c r="M17" s="3" t="inlineStr">
        <is>
          <t>Blitz-Huij-Martens (2011) JEF; Asness-Moskowitz-Pedersen (2013) JF</t>
        </is>
      </c>
      <c r="N17" s="3" t="inlineStr">
        <is>
          <t>Strips out beta/value/size/profitability/investment exposures; residual captures alpha momentum vs factor-driven momentum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n">
        <v>0.7</v>
      </c>
      <c r="U17" s="3" t="n">
        <v>40</v>
      </c>
      <c r="V17" s="3" t="n">
        <v>0.42</v>
      </c>
      <c r="W17" s="3" t="inlineStr">
        <is>
          <t>Moderate with raw TSMOM; designed to be orthogonal</t>
        </is>
      </c>
      <c r="X17" s="3" t="inlineStr">
        <is>
          <t>Replaces raw TSMOM for single stocks when they disagree</t>
        </is>
      </c>
      <c r="Y17" s="3" t="inlineStr">
        <is>
          <t>Kenneth French library + derived OLS</t>
        </is>
      </c>
      <c r="Z17" s="3" t="inlineStr">
        <is>
          <t>Monthly</t>
        </is>
      </c>
      <c r="AA17" s="3" t="inlineStr">
        <is>
          <t>1-2w</t>
        </is>
      </c>
      <c r="AB17" s="3" t="inlineStr">
        <is>
          <t>When raw TSMOM and residual conflict, trust residual (per Daniel-Moskowitz 2016)</t>
        </is>
      </c>
      <c r="AC17" s="2" t="n">
        <v>46127</v>
      </c>
      <c r="AD17" s="2" t="n">
        <v>46309</v>
      </c>
      <c r="AE17" s="3" t="inlineStr">
        <is>
          <t>Added 2026-04-14 audit. Quarterly 2026-04-15: early-CONFIRMED (decision-moving). Pipeline instability flagged.</t>
        </is>
      </c>
      <c r="AF17" s="2" t="n">
        <v>46126</v>
      </c>
      <c r="AH17" s="3" t="n">
        <v>8</v>
      </c>
      <c r="AI17" s="3" t="inlineStr">
        <is>
          <t>Decision-moving: promoted TSM, demoted AMZN/META, de-promoted TSM v3</t>
        </is>
      </c>
      <c r="AJ17" s="3" t="inlineStr">
        <is>
          <t>6-month review gate 2026-10-14. Pipeline produced different results in two same-day computes — stability issue to investigate.</t>
        </is>
      </c>
    </row>
    <row r="18" ht="15" customHeight="1" s="15">
      <c r="A18" s="3" t="inlineStr">
        <is>
          <t>V027</t>
        </is>
      </c>
      <c r="B18" s="3" t="inlineStr">
        <is>
          <t>Intermediary capital ratio</t>
        </is>
      </c>
      <c r="C18" s="3" t="inlineStr">
        <is>
          <t>NY Fed primary-dealer equity/total-capital ratio, z-score vs 3y rolling mean</t>
        </is>
      </c>
      <c r="D18" s="3" t="inlineStr">
        <is>
          <t>Cross-Asset</t>
        </is>
      </c>
      <c r="E18" s="3" t="inlineStr">
        <is>
          <t>Dealer constraints</t>
        </is>
      </c>
      <c r="F18" s="3" t="inlineStr">
        <is>
          <t>1-3 months</t>
        </is>
      </c>
      <c r="G18" s="3" t="inlineStr">
        <is>
          <t>Risk Management</t>
        </is>
      </c>
      <c r="H18" s="3" t="inlineStr">
        <is>
          <t>R</t>
        </is>
      </c>
      <c r="I18" s="3" t="inlineStr">
        <is>
          <t>Grade A</t>
        </is>
      </c>
      <c r="J18" s="3" t="inlineStr">
        <is>
          <t>Approved</t>
        </is>
      </c>
      <c r="K18" s="2" t="n">
        <v>46126</v>
      </c>
      <c r="L18" s="3" t="inlineStr">
        <is>
          <t>Methodology audit</t>
        </is>
      </c>
      <c r="M18" s="3" t="inlineStr">
        <is>
          <t>He-Kelly-Manela (2017) JFE</t>
        </is>
      </c>
      <c r="N18" s="3" t="inlineStr">
        <is>
          <t>Dealer balance-sheet constraint leading indicator; z&lt;-1σ = tightening before HY OAS widens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n">
        <v>0.6</v>
      </c>
      <c r="U18" s="3" t="n">
        <v>40</v>
      </c>
      <c r="V18" s="3" t="n">
        <v>0.36</v>
      </c>
      <c r="W18" s="3" t="inlineStr">
        <is>
          <t>0.65-0.75 with HY OAS post-2008</t>
        </is>
      </c>
      <c r="X18" s="3" t="inlineStr">
        <is>
          <t>Double-count gate: if both flag stress, take more negative, not sum</t>
        </is>
      </c>
      <c r="Y18" s="3" t="inlineStr">
        <is>
          <t>NY Fed PD statistics weekly CSV</t>
        </is>
      </c>
      <c r="Z18" s="3" t="inlineStr">
        <is>
          <t>Weekly</t>
        </is>
      </c>
      <c r="AA18" s="3" t="inlineStr">
        <is>
          <t>~1w</t>
        </is>
      </c>
      <c r="AB18" s="3" t="inlineStr">
        <is>
          <t>If z&lt;-1σ: downgrade R by one notch on equities, commodities, FX longs. Do not double-count with HY OAS.</t>
        </is>
      </c>
      <c r="AC18" s="2" t="n">
        <v>46127</v>
      </c>
      <c r="AD18" s="2" t="n">
        <v>46309</v>
      </c>
      <c r="AE18" s="3" t="inlineStr">
        <is>
          <t>Added 2026-04-14 audit. Quarterly 2026-04-15: DATA GAP (z=+1.86, no downgrade triggered yet)</t>
        </is>
      </c>
      <c r="AF18" s="2" t="n">
        <v>46126</v>
      </c>
      <c r="AH18" s="3" t="n">
        <v>1</v>
      </c>
      <c r="AI18" s="3" t="inlineStr">
        <is>
          <t>Resolved EWY fail-loud caveat; no downgrade triggered (z positive)</t>
        </is>
      </c>
      <c r="AJ18" s="3" t="inlineStr">
        <is>
          <t>6-month review gate 2026-10-14. Currently ample capacity (z=+1.86). Will only prove value if dealers tighten.</t>
        </is>
      </c>
    </row>
    <row r="19" ht="15" customHeight="1" s="15">
      <c r="A19" s="3" t="inlineStr">
        <is>
          <t>V028</t>
        </is>
      </c>
      <c r="B19" s="3" t="inlineStr">
        <is>
          <t>Basis-momentum</t>
        </is>
      </c>
      <c r="C19" s="3" t="inlineStr">
        <is>
          <t>4w and 12w change in front-curve F1-F2 slope for commodities</t>
        </is>
      </c>
      <c r="D19" s="3" t="inlineStr">
        <is>
          <t>Commodities</t>
        </is>
      </c>
      <c r="E19" s="3" t="inlineStr">
        <is>
          <t>Curve dynamics</t>
        </is>
      </c>
      <c r="F19" s="3" t="inlineStr">
        <is>
          <t>1-4 weeks</t>
        </is>
      </c>
      <c r="G19" s="3" t="inlineStr">
        <is>
          <t>Structural</t>
        </is>
      </c>
      <c r="H19" s="3" t="inlineStr">
        <is>
          <t>S</t>
        </is>
      </c>
      <c r="I19" s="3" t="inlineStr">
        <is>
          <t>Grade A</t>
        </is>
      </c>
      <c r="J19" s="3" t="inlineStr">
        <is>
          <t>Approved</t>
        </is>
      </c>
      <c r="K19" s="2" t="n">
        <v>46126</v>
      </c>
      <c r="L19" s="3" t="inlineStr">
        <is>
          <t>Methodology audit</t>
        </is>
      </c>
      <c r="M19" s="3" t="inlineStr">
        <is>
          <t>Boons-Prado (2019) JF</t>
        </is>
      </c>
      <c r="N19" s="3" t="inlineStr">
        <is>
          <t>Dynamic complement to static curve slope; catches curve-shape exhaustion that static slope misses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n">
        <v>0.8</v>
      </c>
      <c r="U19" s="3" t="n">
        <v>40</v>
      </c>
      <c r="V19" s="3" t="n">
        <v>0.48</v>
      </c>
      <c r="W19" s="3" t="inlineStr">
        <is>
          <t>Supplements V011 (static curve slope); designed to be complementary</t>
        </is>
      </c>
      <c r="X19" s="3" t="inlineStr">
        <is>
          <t>Always used WITH static slope, never alone</t>
        </is>
      </c>
      <c r="Y19" s="3" t="inlineStr">
        <is>
          <t>Derived from front-curve daily settlements</t>
        </is>
      </c>
      <c r="Z19" s="3" t="inlineStr">
        <is>
          <t>Daily</t>
        </is>
      </c>
      <c r="AA19" s="3" t="inlineStr">
        <is>
          <t>0d</t>
        </is>
      </c>
      <c r="AB19" s="3" t="inlineStr">
        <is>
          <t>Divergence cap: if static slope=+1 but basis-mom flattening, cap S at 0</t>
        </is>
      </c>
      <c r="AC19" s="2" t="n">
        <v>46127</v>
      </c>
      <c r="AD19" s="2" t="n">
        <v>46309</v>
      </c>
      <c r="AE19" s="3" t="inlineStr">
        <is>
          <t>Added 2026-04-14 audit. Quarterly 2026-04-15: early-CONFIRMED (decision-moving). Divergence cap fired on WTI/Gold.</t>
        </is>
      </c>
      <c r="AF19" s="2" t="n">
        <v>46126</v>
      </c>
      <c r="AH19" s="3" t="n">
        <v>4</v>
      </c>
      <c r="AI19" s="3" t="inlineStr">
        <is>
          <t>Decision-moving: capped S at 0 for WTI and Gold (divergence); restored S to +1 when caps removed (v3)</t>
        </is>
      </c>
      <c r="AJ19" s="3" t="inlineStr">
        <is>
          <t>6-month review gate 2026-10-14. Already the most active audit addition after 1 day.</t>
        </is>
      </c>
    </row>
    <row r="20" ht="15" customHeight="1" s="15">
      <c r="A20" s="3" t="inlineStr">
        <is>
          <t>V016</t>
        </is>
      </c>
      <c r="B20" s="3" t="inlineStr">
        <is>
          <t>BTC perp funding rate</t>
        </is>
      </c>
      <c r="C20" s="3" t="inlineStr">
        <is>
          <t>Perpetual swap funding rate (Binance, OKX)</t>
        </is>
      </c>
      <c r="D20" s="3" t="inlineStr">
        <is>
          <t>Crypto</t>
        </is>
      </c>
      <c r="E20" s="3" t="inlineStr">
        <is>
          <t>Crowding</t>
        </is>
      </c>
      <c r="F20" s="3" t="inlineStr">
        <is>
          <t>1-5 days</t>
        </is>
      </c>
      <c r="G20" s="3" t="inlineStr">
        <is>
          <t>Risk Management</t>
        </is>
      </c>
      <c r="H20" s="3" t="inlineStr">
        <is>
          <t>R</t>
        </is>
      </c>
      <c r="I20" s="3" t="inlineStr">
        <is>
          <t>Grade B</t>
        </is>
      </c>
      <c r="J20" s="3" t="inlineStr">
        <is>
          <t>Grade A</t>
        </is>
      </c>
      <c r="L20" s="3" t="inlineStr">
        <is>
          <t>Foundational</t>
        </is>
      </c>
      <c r="M20" s="3" t="inlineStr">
        <is>
          <t>Practitioner; limited academic (Aloosh et al. 2023 partial)</t>
        </is>
      </c>
      <c r="N20" s="3" t="inlineStr">
        <is>
          <t>Negative funding = shorts paying longs (contrarian bullish); extreme positive = crowded longs</t>
        </is>
      </c>
      <c r="O20" s="3" t="inlineStr">
        <is>
          <t>PARTIAL</t>
        </is>
      </c>
      <c r="P20" s="3" t="inlineStr">
        <is>
          <t>PARTIAL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Y20" s="3" t="inlineStr">
        <is>
          <t>CoinGlass / Binance API</t>
        </is>
      </c>
      <c r="Z20" s="3" t="inlineStr">
        <is>
          <t>Daily</t>
        </is>
      </c>
      <c r="AA20" s="3" t="inlineStr">
        <is>
          <t>0-1d</t>
        </is>
      </c>
      <c r="AC20" s="2" t="n">
        <v>46127</v>
      </c>
      <c r="AD20" s="2" t="n">
        <v>46204</v>
      </c>
      <c r="AE20" s="3" t="inlineStr">
        <is>
          <t>Grade B — thin academic coverage. Used as crowding filter, not return predictor.</t>
        </is>
      </c>
    </row>
    <row r="21" ht="15" customHeight="1" s="15">
      <c r="A21" s="3" t="inlineStr">
        <is>
          <t>V017</t>
        </is>
      </c>
      <c r="B21" s="3" t="inlineStr">
        <is>
          <t>BTC ETF net flows</t>
        </is>
      </c>
      <c r="C21" s="3" t="inlineStr">
        <is>
          <t>Daily net flows into/out of US spot Bitcoin ETFs</t>
        </is>
      </c>
      <c r="D21" s="3" t="inlineStr">
        <is>
          <t>Crypto</t>
        </is>
      </c>
      <c r="E21" s="3" t="inlineStr">
        <is>
          <t>Institutional flow</t>
        </is>
      </c>
      <c r="F21" s="3" t="inlineStr">
        <is>
          <t>1-5 days</t>
        </is>
      </c>
      <c r="G21" s="3" t="inlineStr">
        <is>
          <t>Timing</t>
        </is>
      </c>
      <c r="H21" s="3" t="inlineStr">
        <is>
          <t>T</t>
        </is>
      </c>
      <c r="I21" s="3" t="inlineStr">
        <is>
          <t>Grade B</t>
        </is>
      </c>
      <c r="J21" s="3" t="inlineStr">
        <is>
          <t>Grade A</t>
        </is>
      </c>
      <c r="L21" s="3" t="inlineStr">
        <is>
          <t>Post-ETF era (2024+)</t>
        </is>
      </c>
      <c r="M21" s="3" t="inlineStr">
        <is>
          <t>No direct academic paper; institutional flow literature</t>
        </is>
      </c>
      <c r="N21" s="3" t="inlineStr">
        <is>
          <t>Institutional demand proxy; streak of outflows = de-risking, inflows = accumulation</t>
        </is>
      </c>
      <c r="O21" s="3" t="inlineStr">
        <is>
          <t>FAIL</t>
        </is>
      </c>
      <c r="P21" s="3" t="inlineStr">
        <is>
          <t>FAIL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Y21" s="3" t="inlineStr">
        <is>
          <t>Farside Investors / CoinDesk</t>
        </is>
      </c>
      <c r="Z21" s="3" t="inlineStr">
        <is>
          <t>Daily</t>
        </is>
      </c>
      <c r="AA21" s="3" t="inlineStr">
        <is>
          <t>0-1d</t>
        </is>
      </c>
      <c r="AC21" s="2" t="n">
        <v>46127</v>
      </c>
      <c r="AD21" s="2" t="n">
        <v>46204</v>
      </c>
      <c r="AE21" s="3" t="inlineStr">
        <is>
          <t>Grade B — too new for replication. Post-ETF factor stability unknown.</t>
        </is>
      </c>
      <c r="AJ21" s="3" t="inlineStr">
        <is>
          <t>Open research question: does this decay as BTC ETF market matures?</t>
        </is>
      </c>
    </row>
    <row r="22" ht="15" customHeight="1" s="15">
      <c r="A22" s="3" t="inlineStr">
        <is>
          <t>V018</t>
        </is>
      </c>
      <c r="B22" s="3" t="inlineStr">
        <is>
          <t>BTC 3m basis</t>
        </is>
      </c>
      <c r="C22" s="3" t="inlineStr">
        <is>
          <t>Annualized 3-month futures basis (Deribit/CME)</t>
        </is>
      </c>
      <c r="D22" s="3" t="inlineStr">
        <is>
          <t>Crypto</t>
        </is>
      </c>
      <c r="E22" s="3" t="inlineStr">
        <is>
          <t>Carry/Crowding</t>
        </is>
      </c>
      <c r="F22" s="3" t="inlineStr">
        <is>
          <t>1-4 weeks</t>
        </is>
      </c>
      <c r="G22" s="3" t="inlineStr">
        <is>
          <t>Risk Management</t>
        </is>
      </c>
      <c r="H22" s="3" t="inlineStr">
        <is>
          <t>R</t>
        </is>
      </c>
      <c r="I22" s="3" t="inlineStr">
        <is>
          <t>Grade B</t>
        </is>
      </c>
      <c r="J22" s="3" t="inlineStr">
        <is>
          <t>Grade A</t>
        </is>
      </c>
      <c r="L22" s="3" t="inlineStr">
        <is>
          <t>Foundational</t>
        </is>
      </c>
      <c r="M22" s="3" t="inlineStr">
        <is>
          <t>Practitioner; carry trade literature</t>
        </is>
      </c>
      <c r="N22" s="3" t="inlineStr">
        <is>
          <t>High basis = crowded long (bearish lean); negative basis = bearish positioning</t>
        </is>
      </c>
      <c r="O22" s="3" t="inlineStr">
        <is>
          <t>PARTIAL</t>
        </is>
      </c>
      <c r="P22" s="3" t="inlineStr">
        <is>
          <t>PARTIAL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Y22" s="3" t="inlineStr">
        <is>
          <t>Deribit / CME basis</t>
        </is>
      </c>
      <c r="Z22" s="3" t="inlineStr">
        <is>
          <t>Daily</t>
        </is>
      </c>
      <c r="AA22" s="3" t="inlineStr">
        <is>
          <t>0-1d</t>
        </is>
      </c>
      <c r="AC22" s="2" t="n">
        <v>46127</v>
      </c>
      <c r="AD22" s="2" t="n">
        <v>46204</v>
      </c>
      <c r="AE22" s="3" t="inlineStr">
        <is>
          <t>Grade B. Persistently MISSING in pipeline (Deribit data unreliable).</t>
        </is>
      </c>
    </row>
    <row r="23" ht="15" customHeight="1" s="15">
      <c r="A23" s="3" t="inlineStr">
        <is>
          <t>V019</t>
        </is>
      </c>
      <c r="B23" s="3" t="inlineStr">
        <is>
          <t>MVRV / SOPR</t>
        </is>
      </c>
      <c r="C23" s="3" t="inlineStr">
        <is>
          <t>Market Value to Realized Value ratio; Spent Output Profit Ratio</t>
        </is>
      </c>
      <c r="D23" s="3" t="inlineStr">
        <is>
          <t>Crypto</t>
        </is>
      </c>
      <c r="E23" s="3" t="inlineStr">
        <is>
          <t>On-chain valuation</t>
        </is>
      </c>
      <c r="F23" s="3" t="inlineStr">
        <is>
          <t>1-3 months</t>
        </is>
      </c>
      <c r="G23" s="3" t="inlineStr">
        <is>
          <t>Structural</t>
        </is>
      </c>
      <c r="H23" s="3" t="inlineStr">
        <is>
          <t>S</t>
        </is>
      </c>
      <c r="I23" s="3" t="inlineStr">
        <is>
          <t>Grade B</t>
        </is>
      </c>
      <c r="J23" s="3" t="inlineStr">
        <is>
          <t>Grade A</t>
        </is>
      </c>
      <c r="L23" s="3" t="inlineStr">
        <is>
          <t>On-chain analytics</t>
        </is>
      </c>
      <c r="M23" s="3" t="inlineStr">
        <is>
          <t>Limited academic (practitioner-dominant)</t>
        </is>
      </c>
      <c r="N23" s="3" t="inlineStr">
        <is>
          <t>MVRV&gt;3 historically preceded corrections; SOPR&lt;1 = holders selling at loss (capitulation)</t>
        </is>
      </c>
      <c r="O23" s="3" t="inlineStr">
        <is>
          <t>FAIL</t>
        </is>
      </c>
      <c r="P23" s="3" t="inlineStr">
        <is>
          <t>PARTIAL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Y23" s="3" t="inlineStr">
        <is>
          <t>Glassnode free</t>
        </is>
      </c>
      <c r="Z23" s="3" t="inlineStr">
        <is>
          <t>Daily</t>
        </is>
      </c>
      <c r="AA23" s="3" t="inlineStr">
        <is>
          <t>0-1d</t>
        </is>
      </c>
      <c r="AC23" s="2" t="n">
        <v>46127</v>
      </c>
      <c r="AD23" s="2" t="n">
        <v>46204</v>
      </c>
      <c r="AE23" s="3" t="inlineStr">
        <is>
          <t>Grade B — regime context only. No return-timing evidence for Grade A.</t>
        </is>
      </c>
    </row>
    <row r="24" ht="15" customHeight="1" s="15">
      <c r="A24" s="3" t="inlineStr">
        <is>
          <t>V020</t>
        </is>
      </c>
      <c r="B24" s="3" t="inlineStr">
        <is>
          <t>News sentiment</t>
        </is>
      </c>
      <c r="C24" s="3" t="inlineStr">
        <is>
          <t>Aggregated news sentiment scores for universe assets</t>
        </is>
      </c>
      <c r="D24" s="3" t="inlineStr">
        <is>
          <t>All</t>
        </is>
      </c>
      <c r="E24" s="3" t="inlineStr">
        <is>
          <t>Sentiment</t>
        </is>
      </c>
      <c r="F24" s="3" t="inlineStr">
        <is>
          <t>1-5 days</t>
        </is>
      </c>
      <c r="G24" s="3" t="inlineStr">
        <is>
          <t>Timing</t>
        </is>
      </c>
      <c r="H24" s="3" t="inlineStr">
        <is>
          <t>C</t>
        </is>
      </c>
      <c r="I24" s="3" t="inlineStr">
        <is>
          <t>Grade B</t>
        </is>
      </c>
      <c r="J24" s="3" t="inlineStr">
        <is>
          <t>Grade A</t>
        </is>
      </c>
      <c r="L24" s="3" t="inlineStr">
        <is>
          <t>Foundational</t>
        </is>
      </c>
      <c r="M24" s="3" t="inlineStr">
        <is>
          <t>Tetlock (2007) JF; Garcia (2013)</t>
        </is>
      </c>
      <c r="N24" s="3" t="inlineStr">
        <is>
          <t>Negative sentiment predicts short-term reversals; positive sentiment has weaker signal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PARTIAL</t>
        </is>
      </c>
      <c r="T24" s="3" t="n">
        <v>0.4</v>
      </c>
      <c r="U24" s="3" t="n">
        <v>40</v>
      </c>
      <c r="V24" s="3" t="n">
        <v>0.24</v>
      </c>
      <c r="Y24" s="3" t="inlineStr">
        <is>
          <t>News-events skill captures qualitative</t>
        </is>
      </c>
      <c r="Z24" s="3" t="inlineStr">
        <is>
          <t>Daily</t>
        </is>
      </c>
      <c r="AA24" s="3" t="inlineStr">
        <is>
          <t>0d</t>
        </is>
      </c>
      <c r="AC24" s="2" t="n">
        <v>46127</v>
      </c>
      <c r="AD24" s="2" t="n">
        <v>46204</v>
      </c>
      <c r="AE24" s="3" t="inlineStr">
        <is>
          <t>Grade B — regime-dependent; quantitative scoring not implemented</t>
        </is>
      </c>
    </row>
    <row r="25" ht="15" customHeight="1" s="15">
      <c r="A25" s="3" t="inlineStr">
        <is>
          <t>V029</t>
        </is>
      </c>
      <c r="B25" s="3" t="inlineStr">
        <is>
          <t>GEX (Gamma Exposure)</t>
        </is>
      </c>
      <c r="C25" s="3" t="inlineStr">
        <is>
          <t>Net gamma exposure of options market makers on SPX/QQQ</t>
        </is>
      </c>
      <c r="D25" s="3" t="inlineStr">
        <is>
          <t>Equities</t>
        </is>
      </c>
      <c r="E25" s="3" t="inlineStr">
        <is>
          <t>Market microstructure</t>
        </is>
      </c>
      <c r="F25" s="3" t="inlineStr">
        <is>
          <t>1-5 days</t>
        </is>
      </c>
      <c r="G25" s="3" t="inlineStr">
        <is>
          <t>Regime Filter</t>
        </is>
      </c>
      <c r="H25" s="3" t="inlineStr">
        <is>
          <t>Overlay</t>
        </is>
      </c>
      <c r="I25" s="3" t="inlineStr">
        <is>
          <t>Provisional</t>
        </is>
      </c>
      <c r="J25" s="3" t="inlineStr">
        <is>
          <t>Retired — code reassigned</t>
        </is>
      </c>
      <c r="K25" s="2" t="n">
        <v>46127</v>
      </c>
      <c r="L25" s="3" t="inlineStr">
        <is>
          <t>Quarterly review pipeline</t>
        </is>
      </c>
      <c r="M25" s="3" t="inlineStr">
        <is>
          <t>Barbon-Buraschi (2021); practitioner research</t>
        </is>
      </c>
      <c r="N25" s="3" t="inlineStr">
        <is>
          <t>Positive GEX = dealers hedge by selling rallies/buying dips (mean-reverting); negative GEX = pro-cyclical hedging (trending)</t>
        </is>
      </c>
      <c r="O25" s="3" t="inlineStr">
        <is>
          <t>PASS</t>
        </is>
      </c>
      <c r="P25" s="3" t="inlineStr">
        <is>
          <t>PARTIAL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PARTIAL</t>
        </is>
      </c>
      <c r="Y25" s="3" t="inlineStr">
        <is>
          <t>SpotGamma / SqueezeMetrics (paid); proxies possible</t>
        </is>
      </c>
      <c r="Z25" s="3" t="inlineStr">
        <is>
          <t>Daily</t>
        </is>
      </c>
      <c r="AA25" s="3" t="inlineStr">
        <is>
          <t>0d</t>
        </is>
      </c>
      <c r="AC25" s="2" t="inlineStr">
        <is>
          <t>2026-04-18</t>
        </is>
      </c>
      <c r="AD25" s="2" t="n">
        <v>46204</v>
      </c>
      <c r="AE25" s="3" t="inlineStr">
        <is>
          <t>Tier 2 candidate. Needs data collection infrastructure.</t>
        </is>
      </c>
      <c r="AH25" s="3" t="n">
        <v>0</v>
      </c>
      <c r="AJ25" s="3" t="inlineStr">
        <is>
          <t>Quarterly review 2026-04-15: DEFER (need signal count). Real-time implementability depends on free proxy. | Code V029 reassigned to meta-integration variable per 2026-04-18 audit. Old candidate: GEX (Gamma Exposure).</t>
        </is>
      </c>
    </row>
    <row r="26" ht="15" customHeight="1" s="15">
      <c r="A26" s="3" t="inlineStr">
        <is>
          <t>V030</t>
        </is>
      </c>
      <c r="B26" s="3" t="inlineStr">
        <is>
          <t>Cross-asset lead-lag</t>
        </is>
      </c>
      <c r="C26" s="3" t="inlineStr">
        <is>
          <t>Systematic lead-lag relationships: BTC→ETH, NVDA→semis, Copper→ISM, MOVE→VIX</t>
        </is>
      </c>
      <c r="D26" s="3" t="inlineStr">
        <is>
          <t>Cross-Asset</t>
        </is>
      </c>
      <c r="E26" s="3" t="inlineStr">
        <is>
          <t>Lead-lag</t>
        </is>
      </c>
      <c r="F26" s="3" t="inlineStr">
        <is>
          <t>1-5 days</t>
        </is>
      </c>
      <c r="G26" s="3" t="inlineStr">
        <is>
          <t>Timing</t>
        </is>
      </c>
      <c r="H26" s="3" t="inlineStr">
        <is>
          <t>T</t>
        </is>
      </c>
      <c r="I26" s="3" t="inlineStr">
        <is>
          <t>Provisional</t>
        </is>
      </c>
      <c r="J26" s="3" t="inlineStr">
        <is>
          <t>Retired — code reassigned</t>
        </is>
      </c>
      <c r="K26" s="2" t="n">
        <v>46127</v>
      </c>
      <c r="L26" s="3" t="inlineStr">
        <is>
          <t>Quarterly review pipeline</t>
        </is>
      </c>
      <c r="M26" s="3" t="inlineStr">
        <is>
          <t>Lo-MacKinlay (1990) RFS; Asness-Moskowitz-Pedersen (2013)</t>
        </is>
      </c>
      <c r="N26" s="3" t="inlineStr">
        <is>
          <t>Some assets systematically lead others due to information diffusion or liquidity differences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PARTIAL</t>
        </is>
      </c>
      <c r="S26" s="3" t="inlineStr">
        <is>
          <t>PASS</t>
        </is>
      </c>
      <c r="W26" s="3" t="inlineStr">
        <is>
          <t>May overlap with TSMOM for the led asset</t>
        </is>
      </c>
      <c r="Y26" s="3" t="inlineStr">
        <is>
          <t>Derived from existing price series</t>
        </is>
      </c>
      <c r="Z26" s="3" t="inlineStr">
        <is>
          <t>Daily</t>
        </is>
      </c>
      <c r="AA26" s="3" t="inlineStr">
        <is>
          <t>0d</t>
        </is>
      </c>
      <c r="AC26" s="2" t="inlineStr">
        <is>
          <t>2026-04-18</t>
        </is>
      </c>
      <c r="AD26" s="2" t="n">
        <v>46204</v>
      </c>
      <c r="AE26" s="3" t="inlineStr">
        <is>
          <t>Tier 2 candidate. Can retroactively tag with existing data.</t>
        </is>
      </c>
      <c r="AH26" s="3" t="n">
        <v>0</v>
      </c>
      <c r="AJ26" s="3" t="inlineStr">
        <is>
          <t>Quarterly review 2026-04-15: DEFER. | Code V030 reassigned to meta-integration variable per 2026-04-18 audit. Old candidate: Cross-asset lead-lag.</t>
        </is>
      </c>
    </row>
    <row r="27" ht="15" customHeight="1" s="15">
      <c r="A27" s="3" t="inlineStr">
        <is>
          <t>V031</t>
        </is>
      </c>
      <c r="B27" s="3" t="inlineStr">
        <is>
          <t>Correlation-regime signal quality</t>
        </is>
      </c>
      <c r="C27" s="3" t="inlineStr">
        <is>
          <t>Trailing 20d cross-asset correlation as quality filter</t>
        </is>
      </c>
      <c r="D27" s="3" t="inlineStr">
        <is>
          <t>Cross-Asset</t>
        </is>
      </c>
      <c r="E27" s="3" t="inlineStr">
        <is>
          <t>Regime</t>
        </is>
      </c>
      <c r="F27" s="3" t="inlineStr">
        <is>
          <t>1-4 weeks</t>
        </is>
      </c>
      <c r="G27" s="3" t="inlineStr">
        <is>
          <t>Regime Filter</t>
        </is>
      </c>
      <c r="H27" s="3" t="inlineStr">
        <is>
          <t>Overlay</t>
        </is>
      </c>
      <c r="I27" s="3" t="inlineStr">
        <is>
          <t>Provisional</t>
        </is>
      </c>
      <c r="J27" s="3" t="inlineStr">
        <is>
          <t>Retired — code reassigned</t>
        </is>
      </c>
      <c r="K27" s="2" t="n">
        <v>46127</v>
      </c>
      <c r="L27" s="3" t="inlineStr">
        <is>
          <t>Quarterly review pipeline</t>
        </is>
      </c>
      <c r="M27" s="3" t="inlineStr">
        <is>
          <t>Kritzman et al. (2011) FAJ (absorption ratio)</t>
        </is>
      </c>
      <c r="N27" s="3" t="inlineStr">
        <is>
          <t>High cross-asset correlation = correlation-1 crisis regime; signals less reliable due to factor dominance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Y27" s="3" t="inlineStr">
        <is>
          <t>Derived from existing price series</t>
        </is>
      </c>
      <c r="Z27" s="3" t="inlineStr">
        <is>
          <t>Daily</t>
        </is>
      </c>
      <c r="AA27" s="3" t="inlineStr">
        <is>
          <t>0d</t>
        </is>
      </c>
      <c r="AC27" s="2" t="inlineStr">
        <is>
          <t>2026-04-18</t>
        </is>
      </c>
      <c r="AD27" s="2" t="n">
        <v>46204</v>
      </c>
      <c r="AE27" s="3" t="inlineStr">
        <is>
          <t>Tier 2 candidate. Needs 30+ closed signals.</t>
        </is>
      </c>
      <c r="AH27" s="3" t="n">
        <v>0</v>
      </c>
      <c r="AJ27" s="3" t="inlineStr">
        <is>
          <t>Quarterly review 2026-04-15: DEFER. | Code V031 reassigned to meta-integration variable per 2026-04-18 audit. Old candidate: Correlation-regime signal quality.</t>
        </is>
      </c>
    </row>
    <row r="28" ht="15" customHeight="1" s="15">
      <c r="A28" s="3" t="inlineStr">
        <is>
          <t>V032</t>
        </is>
      </c>
      <c r="B28" s="3" t="inlineStr">
        <is>
          <t>Decision tree feature importance</t>
        </is>
      </c>
      <c r="C28" s="3" t="inlineStr">
        <is>
          <t>Shallow decision tree to surface non-obvious interaction effects in scoring</t>
        </is>
      </c>
      <c r="D28" s="3" t="inlineStr">
        <is>
          <t>All</t>
        </is>
      </c>
      <c r="E28" s="3" t="inlineStr">
        <is>
          <t>Machine learning</t>
        </is>
      </c>
      <c r="F28" s="3" t="inlineStr">
        <is>
          <t>N/A</t>
        </is>
      </c>
      <c r="G28" s="3" t="inlineStr">
        <is>
          <t>Regime Filter</t>
        </is>
      </c>
      <c r="H28" s="3" t="inlineStr">
        <is>
          <t>Overlay</t>
        </is>
      </c>
      <c r="I28" s="3" t="inlineStr">
        <is>
          <t>Ungraded</t>
        </is>
      </c>
      <c r="J28" s="3" t="inlineStr">
        <is>
          <t>Retired — code reassigned</t>
        </is>
      </c>
      <c r="K28" s="2" t="n">
        <v>46127</v>
      </c>
      <c r="L28" s="3" t="inlineStr">
        <is>
          <t>Quarterly review pipeline</t>
        </is>
      </c>
      <c r="M28" s="3" t="inlineStr">
        <is>
          <t>Gu-Kelly-Xiu (2020) RFS</t>
        </is>
      </c>
      <c r="N28" s="3" t="inlineStr">
        <is>
          <t>Data-driven feature importance; may reveal interactions the hand-coded interaction matrix misses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N/A</t>
        </is>
      </c>
      <c r="S28" s="3" t="inlineStr">
        <is>
          <t>PASS</t>
        </is>
      </c>
      <c r="W28" s="3" t="inlineStr">
        <is>
          <t>Meta-variable, not standalone</t>
        </is>
      </c>
      <c r="Y28" s="3" t="inlineStr">
        <is>
          <t>Derived from ledger data</t>
        </is>
      </c>
      <c r="Z28" s="3" t="inlineStr">
        <is>
          <t>Quarterly</t>
        </is>
      </c>
      <c r="AA28" s="3" t="inlineStr">
        <is>
          <t>0d</t>
        </is>
      </c>
      <c r="AC28" s="2" t="inlineStr">
        <is>
          <t>2026-04-18</t>
        </is>
      </c>
      <c r="AD28" s="2" t="n">
        <v>46204</v>
      </c>
      <c r="AE28" s="3" t="inlineStr">
        <is>
          <t>Tier 3 candidate. Needs 50+ closed signals.</t>
        </is>
      </c>
      <c r="AH28" s="3" t="n">
        <v>0</v>
      </c>
      <c r="AJ28" s="3" t="inlineStr">
        <is>
          <t>Quarterly review 2026-04-15: DEFER. | Code V032 reassigned to meta-integration variable per 2026-04-18 audit. Old candidate: Decision tree feature importance.</t>
        </is>
      </c>
    </row>
    <row r="29" ht="15" customHeight="1" s="15">
      <c r="A29" s="3" t="inlineStr">
        <is>
          <t>V033</t>
        </is>
      </c>
      <c r="B29" s="3" t="inlineStr">
        <is>
          <t>Calendar/seasonal effects</t>
        </is>
      </c>
      <c r="C29" s="3" t="inlineStr">
        <is>
          <t>Day-of-week, OpEx proximity, FOMC week patterns</t>
        </is>
      </c>
      <c r="D29" s="3" t="inlineStr">
        <is>
          <t>All</t>
        </is>
      </c>
      <c r="E29" s="3" t="inlineStr">
        <is>
          <t>Calendar</t>
        </is>
      </c>
      <c r="F29" s="3" t="inlineStr">
        <is>
          <t>1-5 days</t>
        </is>
      </c>
      <c r="G29" s="3" t="inlineStr">
        <is>
          <t>Timing</t>
        </is>
      </c>
      <c r="H29" s="3" t="inlineStr">
        <is>
          <t>C</t>
        </is>
      </c>
      <c r="I29" s="3" t="inlineStr">
        <is>
          <t>Ungraded</t>
        </is>
      </c>
      <c r="J29" s="3" t="inlineStr">
        <is>
          <t>Retired — code reassigned</t>
        </is>
      </c>
      <c r="K29" s="2" t="n">
        <v>46127</v>
      </c>
      <c r="L29" s="3" t="inlineStr">
        <is>
          <t>Quarterly review pipeline</t>
        </is>
      </c>
      <c r="M29" s="3" t="inlineStr">
        <is>
          <t>Lucca-Moench (2015) JF (pre-FOMC drift)</t>
        </is>
      </c>
      <c r="N29" s="3" t="inlineStr">
        <is>
          <t>Well-documented calendar anomalies; FOMC week drift is strongest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PARTIAL</t>
        </is>
      </c>
      <c r="R29" s="3" t="inlineStr">
        <is>
          <t>PASS</t>
        </is>
      </c>
      <c r="S29" s="3" t="inlineStr">
        <is>
          <t>PASS</t>
        </is>
      </c>
      <c r="T29" s="3" t="n">
        <v>0.3</v>
      </c>
      <c r="U29" s="3" t="n">
        <v>50</v>
      </c>
      <c r="V29" s="3" t="n">
        <v>0.15</v>
      </c>
      <c r="Y29" s="3" t="inlineStr">
        <is>
          <t>Derived from calendar</t>
        </is>
      </c>
      <c r="Z29" s="3" t="inlineStr">
        <is>
          <t>Daily</t>
        </is>
      </c>
      <c r="AA29" s="3" t="inlineStr">
        <is>
          <t>0d</t>
        </is>
      </c>
      <c r="AC29" s="2" t="inlineStr">
        <is>
          <t>2026-04-18</t>
        </is>
      </c>
      <c r="AD29" s="2" t="n">
        <v>46204</v>
      </c>
      <c r="AE29" s="3" t="inlineStr">
        <is>
          <t>Tier 3 candidate. Needs 60+ closed signals. Low projected Sharpe.</t>
        </is>
      </c>
      <c r="AH29" s="3" t="n">
        <v>0</v>
      </c>
      <c r="AJ29" s="3" t="inlineStr">
        <is>
          <t>Quarterly review 2026-04-15: DEFER. Projected operational Sharpe below 0.3 — may not be worth complexity. | Code V033 reassigned to meta-integration variable per 2026-04-18 audit. Old candidate: Calendar/seasonal effects.</t>
        </is>
      </c>
    </row>
    <row r="30">
      <c r="A30" t="inlineStr">
        <is>
          <t>V029</t>
        </is>
      </c>
      <c r="B30" t="inlineStr">
        <is>
          <t>BAB (Betting-Against-Beta)</t>
        </is>
      </c>
      <c r="C30" t="inlineStr">
        <is>
          <t>Long low-β, short high-β leveraged portfolio; BAB factor monthly returns</t>
        </is>
      </c>
      <c r="D30" t="inlineStr">
        <is>
          <t>Equities</t>
        </is>
      </c>
      <c r="E30" t="inlineStr">
        <is>
          <t>Factor</t>
        </is>
      </c>
      <c r="F30" t="inlineStr">
        <is>
          <t>1-6 months</t>
        </is>
      </c>
      <c r="G30" t="inlineStr">
        <is>
          <t>Factor Sleeve</t>
        </is>
      </c>
      <c r="H30" t="inlineStr">
        <is>
          <t>S</t>
        </is>
      </c>
      <c r="I30" t="inlineStr">
        <is>
          <t>Grade A</t>
        </is>
      </c>
      <c r="J30" t="inlineStr">
        <is>
          <t>Shadow (Phase 2)</t>
        </is>
      </c>
      <c r="K30" t="inlineStr">
        <is>
          <t>2026-04-18</t>
        </is>
      </c>
      <c r="L30" t="inlineStr">
        <is>
          <t>Meta-analysis 2026-04-18 (BNMA + PL-NMA synthesis of 54 variables × 12 papers)</t>
        </is>
      </c>
      <c r="M30" t="inlineStr">
        <is>
          <t>Frazzini-Pedersen (2014) JFE "Betting Against Beta"</t>
        </is>
      </c>
      <c r="N30" t="inlineStr">
        <is>
          <t>Leverage-constrained investors overweight high-β — low-β stocks earn premium on risk-adjusted basis</t>
        </is>
      </c>
      <c r="O30" t="inlineStr">
        <is>
          <t>PASS</t>
        </is>
      </c>
      <c r="P30" t="inlineStr">
        <is>
          <t>PASS</t>
        </is>
      </c>
      <c r="Q30" t="inlineStr">
        <is>
          <t>PASS</t>
        </is>
      </c>
      <c r="R30" t="inlineStr">
        <is>
          <t>PASS</t>
        </is>
      </c>
      <c r="S30" t="inlineStr">
        <is>
          <t>PASS (ETF proxy daily; canonical monthly)</t>
        </is>
      </c>
      <c r="W30" t="inlineStr">
        <is>
          <t>Low with V009/V026; independent of V027 capital stress</t>
        </is>
      </c>
      <c r="Y30" t="inlineStr">
        <is>
          <t>AQR canonical OR Ken French library OR USMV/SPLV ETF proxy</t>
        </is>
      </c>
      <c r="Z30" t="inlineStr">
        <is>
          <t>Daily (ETF proxy) / Monthly (canonical)</t>
        </is>
      </c>
      <c r="AA30" t="inlineStr">
        <is>
          <t>0d (proxy) / 30d (canonical)</t>
        </is>
      </c>
      <c r="AB30" t="inlineStr">
        <is>
          <t>Sleeve capped at 1/3 of V009 risk budget; correlation gate still applies on same-ticker BAB leg + V009 long</t>
        </is>
      </c>
      <c r="AC30" t="inlineStr">
        <is>
          <t>2026-04-18</t>
        </is>
      </c>
      <c r="AD30" t="inlineStr">
        <is>
          <t>2026-10-14</t>
        </is>
      </c>
      <c r="AE30" t="inlineStr">
        <is>
          <t>Added 2026-04-18 via meta-integration (plan: meta-analysis-integration-plan-2026-04-18.md). Shadow mode until live_date set in Phase 3.</t>
        </is>
      </c>
      <c r="AI30" t="inlineStr">
        <is>
          <t>Not yet assessed (shadow mode — no live rows yet)</t>
        </is>
      </c>
      <c r="AJ30" t="inlineStr">
        <is>
          <t>Factor sleeve — independent of spine sizing. See Risk Rules §8.</t>
        </is>
      </c>
    </row>
    <row r="31">
      <c r="A31" t="inlineStr">
        <is>
          <t>V030</t>
        </is>
      </c>
      <c r="B31" t="inlineStr">
        <is>
          <t>DealerGamma</t>
        </is>
      </c>
      <c r="C31" t="inlineStr">
        <is>
          <t>Options dealer gamma positioning (composite daily)</t>
        </is>
      </c>
      <c r="D31" t="inlineStr">
        <is>
          <t>Equities (SPX)</t>
        </is>
      </c>
      <c r="E31" t="inlineStr">
        <is>
          <t>Flow/Positioning</t>
        </is>
      </c>
      <c r="F31" t="inlineStr">
        <is>
          <t>1-10 days</t>
        </is>
      </c>
      <c r="G31" t="inlineStr">
        <is>
          <t>Factor Sleeve</t>
        </is>
      </c>
      <c r="H31" t="inlineStr">
        <is>
          <t>R</t>
        </is>
      </c>
      <c r="I31" t="inlineStr">
        <is>
          <t>Grade B</t>
        </is>
      </c>
      <c r="J31" t="inlineStr">
        <is>
          <t>MISSING (subscription pending)</t>
        </is>
      </c>
      <c r="K31" t="inlineStr">
        <is>
          <t>2026-04-18</t>
        </is>
      </c>
      <c r="L31" t="inlineStr">
        <is>
          <t>Meta-analysis 2026-04-18 (BNMA + PL-NMA synthesis of 54 variables × 12 papers)</t>
        </is>
      </c>
      <c r="M31" t="inlineStr">
        <is>
          <t>Barbon-Buraschi (2021) single-paper</t>
        </is>
      </c>
      <c r="N31" t="inlineStr">
        <is>
          <t>Dealer short-gamma regimes amplify realized vol; long-gamma regimes suppress it</t>
        </is>
      </c>
      <c r="O31" t="inlineStr">
        <is>
          <t>PARTIAL (single paper)</t>
        </is>
      </c>
      <c r="P31" t="inlineStr">
        <is>
          <t>PENDING (no independent replication yet)</t>
        </is>
      </c>
      <c r="Q31" t="inlineStr">
        <is>
          <t>PASS</t>
        </is>
      </c>
      <c r="R31" t="inlineStr">
        <is>
          <t>PASS</t>
        </is>
      </c>
      <c r="S31" t="inlineStr">
        <is>
          <t>PARTIAL (paid data only — SqueezeMetrics / SpotGamma)</t>
        </is>
      </c>
      <c r="W31" t="inlineStr">
        <is>
          <t>Regime-dependent; co-fires with V001 VIX in short-gamma stress</t>
        </is>
      </c>
      <c r="Y31" t="inlineStr">
        <is>
          <t>SqueezeMetrics GEX OR SpotGamma daily composite</t>
        </is>
      </c>
      <c r="Z31" t="inlineStr">
        <is>
          <t>Daily</t>
        </is>
      </c>
      <c r="AA31" t="inlineStr">
        <is>
          <t>0-1d</t>
        </is>
      </c>
      <c r="AB31" t="inlineStr">
        <is>
          <t>R-group scale-consistency §5.A: when co-firing with V001, take more negative</t>
        </is>
      </c>
      <c r="AC31" t="inlineStr">
        <is>
          <t>2026-04-18</t>
        </is>
      </c>
      <c r="AD31" t="inlineStr">
        <is>
          <t>2026-10-14</t>
        </is>
      </c>
      <c r="AE31" t="inlineStr">
        <is>
          <t>Added 2026-04-18 via meta-integration. Data subscription pending Gerald decision — rows MISSING in shadow mode. Review Grade at 2026-07-01.</t>
        </is>
      </c>
      <c r="AI31" t="inlineStr">
        <is>
          <t>Not yet assessed (shadow mode — no live rows yet)</t>
        </is>
      </c>
      <c r="AJ31" t="inlineStr">
        <is>
          <t>Grade B — single paper. Review at 2026-07-01 quarterly. Subscription unconfirmed 2026-04-18; rows stay MISSING until resolved.</t>
        </is>
      </c>
    </row>
    <row r="32">
      <c r="A32" t="inlineStr">
        <is>
          <t>V031</t>
        </is>
      </c>
      <c r="B32" t="inlineStr">
        <is>
          <t>GP/A (Gross Profitability / Assets)</t>
        </is>
      </c>
      <c r="C32" t="inlineStr">
        <is>
          <t>(Revenue - COGS) / Total Assets — Novy-Marx profitability factor</t>
        </is>
      </c>
      <c r="D32" t="inlineStr">
        <is>
          <t>Equities</t>
        </is>
      </c>
      <c r="E32" t="inlineStr">
        <is>
          <t>Factor (Quality)</t>
        </is>
      </c>
      <c r="F32" t="inlineStr">
        <is>
          <t>3-12 months</t>
        </is>
      </c>
      <c r="G32" t="inlineStr">
        <is>
          <t>Factor Sleeve</t>
        </is>
      </c>
      <c r="H32" t="inlineStr">
        <is>
          <t>S</t>
        </is>
      </c>
      <c r="I32" t="inlineStr">
        <is>
          <t>Grade A</t>
        </is>
      </c>
      <c r="J32" t="inlineStr">
        <is>
          <t>Shadow (Phase 2)</t>
        </is>
      </c>
      <c r="K32" t="inlineStr">
        <is>
          <t>2026-04-18</t>
        </is>
      </c>
      <c r="L32" t="inlineStr">
        <is>
          <t>Meta-analysis 2026-04-18 (BNMA + PL-NMA synthesis of 54 variables × 12 papers)</t>
        </is>
      </c>
      <c r="M32" t="inlineStr">
        <is>
          <t>Novy-Marx (2013) JFE "The Other Side of Value"</t>
        </is>
      </c>
      <c r="N32" t="inlineStr">
        <is>
          <t>Gross profitability ratio uncontaminated by accruals &amp; reinvestment choices — purer signal of asset productivity than earnings</t>
        </is>
      </c>
      <c r="O32" t="inlineStr">
        <is>
          <t>PASS</t>
        </is>
      </c>
      <c r="P32" t="inlineStr">
        <is>
          <t>PASS</t>
        </is>
      </c>
      <c r="Q32" t="inlineStr">
        <is>
          <t>PASS</t>
        </is>
      </c>
      <c r="R32" t="inlineStr">
        <is>
          <t>PASS</t>
        </is>
      </c>
      <c r="S32" t="inlineStr">
        <is>
          <t>PASS (slow-moving — quarterly rebalance)</t>
        </is>
      </c>
      <c r="W32" t="inlineStr">
        <is>
          <t>Low with momentum (V009), value (HML-like)</t>
        </is>
      </c>
      <c r="Y32" t="inlineStr">
        <is>
          <t>Compustat OR Ken French GP portfolio returns</t>
        </is>
      </c>
      <c r="Z32" t="inlineStr">
        <is>
          <t>Quarterly</t>
        </is>
      </c>
      <c r="AA32" t="inlineStr">
        <is>
          <t>30-60d (financial statement reporting lag)</t>
        </is>
      </c>
      <c r="AB32" t="inlineStr">
        <is>
          <t>Sleeve capped at 1/3 V009 budget. Monthly rebalance of ranked basket, not daily rescore.</t>
        </is>
      </c>
      <c r="AC32" t="inlineStr">
        <is>
          <t>2026-04-18</t>
        </is>
      </c>
      <c r="AD32" t="inlineStr">
        <is>
          <t>2026-10-14</t>
        </is>
      </c>
      <c r="AE32" t="inlineStr">
        <is>
          <t>Added 2026-04-18 via meta-integration (plan: meta-analysis-integration-plan-2026-04-18.md). Shadow mode until live_date set in Phase 3.</t>
        </is>
      </c>
      <c r="AI32" t="inlineStr">
        <is>
          <t>Not yet assessed (shadow mode — no live rows yet)</t>
        </is>
      </c>
      <c r="AJ32" t="inlineStr">
        <is>
          <t>Slow-moving — quarterly data, monthly portfolio rebalance.</t>
        </is>
      </c>
    </row>
    <row r="33">
      <c r="A33" t="inlineStr">
        <is>
          <t>V032</t>
        </is>
      </c>
      <c r="B33" t="inlineStr">
        <is>
          <t>CEI (Composite Equity Issuance)</t>
        </is>
      </c>
      <c r="C33" t="inlineStr">
        <is>
          <t>Daniel-Titman composite equity issuance measure: log return minus price return (net share issuance effect)</t>
        </is>
      </c>
      <c r="D33" t="inlineStr">
        <is>
          <t>Equities</t>
        </is>
      </c>
      <c r="E33" t="inlineStr">
        <is>
          <t>Factor (Issuance)</t>
        </is>
      </c>
      <c r="F33" t="inlineStr">
        <is>
          <t>3-24 months</t>
        </is>
      </c>
      <c r="G33" t="inlineStr">
        <is>
          <t>Factor Sleeve</t>
        </is>
      </c>
      <c r="H33" t="inlineStr">
        <is>
          <t>S</t>
        </is>
      </c>
      <c r="I33" t="inlineStr">
        <is>
          <t>Grade A</t>
        </is>
      </c>
      <c r="J33" t="inlineStr">
        <is>
          <t>Shadow (Phase 2)</t>
        </is>
      </c>
      <c r="K33" t="inlineStr">
        <is>
          <t>2026-04-18</t>
        </is>
      </c>
      <c r="L33" t="inlineStr">
        <is>
          <t>Meta-analysis 2026-04-18 (BNMA + PL-NMA synthesis of 54 variables × 12 papers)</t>
        </is>
      </c>
      <c r="M33" t="inlineStr">
        <is>
          <t>Daniel-Titman (2006) JF "Market Reactions to Tangible and Intangible Information"</t>
        </is>
      </c>
      <c r="N33" t="inlineStr">
        <is>
          <t>Firms issuing equity when overvalued (rational market timing) underperform on out-of-sample basis — information in ΔlogReturn vs price return</t>
        </is>
      </c>
      <c r="O33" t="inlineStr">
        <is>
          <t>PASS</t>
        </is>
      </c>
      <c r="P33" t="inlineStr">
        <is>
          <t>PASS</t>
        </is>
      </c>
      <c r="Q33" t="inlineStr">
        <is>
          <t>PASS</t>
        </is>
      </c>
      <c r="R33" t="inlineStr">
        <is>
          <t>PASS</t>
        </is>
      </c>
      <c r="S33" t="inlineStr">
        <is>
          <t>PARTIAL (self-compute needed; no public feed)</t>
        </is>
      </c>
      <c r="W33" t="inlineStr">
        <is>
          <t>Low with momentum, moderate negative with V031 GP/A</t>
        </is>
      </c>
      <c r="Y33" t="inlineStr">
        <is>
          <t>Self-compute from CRSP + Compustat (scripts/compute_cei.py — Phase 2 TODO)</t>
        </is>
      </c>
      <c r="Z33" t="inlineStr">
        <is>
          <t>Quarterly</t>
        </is>
      </c>
      <c r="AA33" t="inlineStr">
        <is>
          <t>30-60d</t>
        </is>
      </c>
      <c r="AB33" t="inlineStr">
        <is>
          <t>Sleeve capped at 1/3 V009 budget. Equal-weight quarterly rebalance.</t>
        </is>
      </c>
      <c r="AC33" t="inlineStr">
        <is>
          <t>2026-04-18</t>
        </is>
      </c>
      <c r="AD33" t="inlineStr">
        <is>
          <t>2026-10-14</t>
        </is>
      </c>
      <c r="AE33" t="inlineStr">
        <is>
          <t>Added 2026-04-18 via meta-integration (plan: meta-analysis-integration-plan-2026-04-18.md). Shadow mode until live_date set in Phase 3.</t>
        </is>
      </c>
      <c r="AI33" t="inlineStr">
        <is>
          <t>Not yet assessed (shadow mode — no live rows yet)</t>
        </is>
      </c>
      <c r="AJ33" t="inlineStr">
        <is>
          <t>Self-compute only. compute_cei.py stub in Phase 2; full implementation may defer to Phase 2b.</t>
        </is>
      </c>
    </row>
    <row r="34">
      <c r="A34" t="inlineStr">
        <is>
          <t>V033</t>
        </is>
      </c>
      <c r="B34" t="inlineStr">
        <is>
          <t>C009 Faber TAA — SPY 10m-SMA</t>
        </is>
      </c>
      <c r="C34" t="inlineStr">
        <is>
          <t>SPY monthly close vs trailing 10-month simple moving average (Faber TAA overlay gate)</t>
        </is>
      </c>
      <c r="D34" t="inlineStr">
        <is>
          <t>Equities</t>
        </is>
      </c>
      <c r="E34" t="inlineStr">
        <is>
          <t>Overlay/Regime</t>
        </is>
      </c>
      <c r="F34" t="inlineStr">
        <is>
          <t>1-6 months</t>
        </is>
      </c>
      <c r="G34" t="inlineStr">
        <is>
          <t>Overlay Gate (Step 1.5)</t>
        </is>
      </c>
      <c r="H34" t="inlineStr">
        <is>
          <t>Overlay</t>
        </is>
      </c>
      <c r="I34" t="inlineStr">
        <is>
          <t>Grade A</t>
        </is>
      </c>
      <c r="J34" t="inlineStr">
        <is>
          <t>Shadow (Phase 2)</t>
        </is>
      </c>
      <c r="K34" t="inlineStr">
        <is>
          <t>2026-04-18</t>
        </is>
      </c>
      <c r="L34" t="inlineStr">
        <is>
          <t>Meta-analysis 2026-04-18 (BNMA + PL-NMA synthesis of 54 variables × 12 papers)</t>
        </is>
      </c>
      <c r="M34" t="inlineStr">
        <is>
          <t>Faber (2007, rev 2013) "A Quantitative Approach to Tactical Asset Allocation"</t>
        </is>
      </c>
      <c r="N34" t="inlineStr">
        <is>
          <t>Price below 10m-SMA = sustained downtrend regime — historically cuts max DD by &gt;50% in bear markets</t>
        </is>
      </c>
      <c r="O34" t="inlineStr">
        <is>
          <t>PASS</t>
        </is>
      </c>
      <c r="P34" t="inlineStr">
        <is>
          <t>PASS</t>
        </is>
      </c>
      <c r="Q34" t="inlineStr">
        <is>
          <t>PASS</t>
        </is>
      </c>
      <c r="R34" t="inlineStr">
        <is>
          <t>PASS</t>
        </is>
      </c>
      <c r="S34" t="inlineStr">
        <is>
          <t>PASS (trivial — monthly close + 10m-SMA)</t>
        </is>
      </c>
      <c r="W34" t="inlineStr">
        <is>
          <t>Low with spine variables; independent of V027</t>
        </is>
      </c>
      <c r="Y34" t="inlineStr">
        <is>
          <t>Yahoo Finance SPY monthly closes</t>
        </is>
      </c>
      <c r="Z34" t="inlineStr">
        <is>
          <t>Monthly (end-of-month only)</t>
        </is>
      </c>
      <c r="AA34" t="inlineStr">
        <is>
          <t>0d (EOM close)</t>
        </is>
      </c>
      <c r="AB34" t="inlineStr">
        <is>
          <t>Non-additive to Sum. If sleeve-off, position size × 0 (Step 1.5 Overlay Gate).</t>
        </is>
      </c>
      <c r="AC34" t="inlineStr">
        <is>
          <t>2026-04-18</t>
        </is>
      </c>
      <c r="AD34" t="inlineStr">
        <is>
          <t>2026-10-14</t>
        </is>
      </c>
      <c r="AE34" t="inlineStr">
        <is>
          <t>Added 2026-04-18 via meta-integration (plan: meta-analysis-integration-plan-2026-04-18.md). Shadow mode until live_date set in Phase 3.</t>
        </is>
      </c>
      <c r="AI34" t="inlineStr">
        <is>
          <t>Not yet assessed (shadow mode — no live rows yet)</t>
        </is>
      </c>
      <c r="AJ34" t="inlineStr">
        <is>
          <t>Equity sleeve gate. Read state only at month-end; intraday recompute prohibited (Risk Rules §4.B).</t>
        </is>
      </c>
    </row>
    <row r="35">
      <c r="A35" t="inlineStr">
        <is>
          <t>V034</t>
        </is>
      </c>
      <c r="B35" t="inlineStr">
        <is>
          <t>C009 Faber TAA — GSCI 10m-SMA</t>
        </is>
      </c>
      <c r="C35" t="inlineStr">
        <is>
          <t>GSCI (S&amp;P Goldman Sachs Commodity Index) monthly close vs 10m-SMA</t>
        </is>
      </c>
      <c r="D35" t="inlineStr">
        <is>
          <t>Commodities</t>
        </is>
      </c>
      <c r="E35" t="inlineStr">
        <is>
          <t>Overlay/Regime</t>
        </is>
      </c>
      <c r="F35" t="inlineStr">
        <is>
          <t>1-6 months</t>
        </is>
      </c>
      <c r="G35" t="inlineStr">
        <is>
          <t>Overlay Gate (Step 1.5)</t>
        </is>
      </c>
      <c r="H35" t="inlineStr">
        <is>
          <t>Overlay</t>
        </is>
      </c>
      <c r="I35" t="inlineStr">
        <is>
          <t>Grade A</t>
        </is>
      </c>
      <c r="J35" t="inlineStr">
        <is>
          <t>Shadow (Phase 2)</t>
        </is>
      </c>
      <c r="K35" t="inlineStr">
        <is>
          <t>2026-04-18</t>
        </is>
      </c>
      <c r="L35" t="inlineStr">
        <is>
          <t>Meta-analysis 2026-04-18 (BNMA + PL-NMA synthesis of 54 variables × 12 papers)</t>
        </is>
      </c>
      <c r="M35" t="inlineStr">
        <is>
          <t>Faber (2007)</t>
        </is>
      </c>
      <c r="N35" t="inlineStr">
        <is>
          <t>Commodity aggregate trend-state filter — sleeve off when GSCI &lt; 10m-SMA</t>
        </is>
      </c>
      <c r="O35" t="inlineStr">
        <is>
          <t>PASS</t>
        </is>
      </c>
      <c r="P35" t="inlineStr">
        <is>
          <t>PASS</t>
        </is>
      </c>
      <c r="Q35" t="inlineStr">
        <is>
          <t>PASS</t>
        </is>
      </c>
      <c r="R35" t="inlineStr">
        <is>
          <t>PASS</t>
        </is>
      </c>
      <c r="S35" t="inlineStr">
        <is>
          <t>PASS</t>
        </is>
      </c>
      <c r="W35" t="inlineStr">
        <is>
          <t>Low</t>
        </is>
      </c>
      <c r="Y35" t="inlineStr">
        <is>
          <t>Yahoo Finance ^SPGSCI or GSG ETF monthly closes</t>
        </is>
      </c>
      <c r="Z35" t="inlineStr">
        <is>
          <t>Monthly</t>
        </is>
      </c>
      <c r="AA35" t="inlineStr">
        <is>
          <t>0d</t>
        </is>
      </c>
      <c r="AB35" t="inlineStr">
        <is>
          <t>Non-additive to Sum. Overlay × 0 when off.</t>
        </is>
      </c>
      <c r="AC35" t="inlineStr">
        <is>
          <t>2026-04-18</t>
        </is>
      </c>
      <c r="AD35" t="inlineStr">
        <is>
          <t>2026-10-14</t>
        </is>
      </c>
      <c r="AE35" t="inlineStr">
        <is>
          <t>Added 2026-04-18 via meta-integration (plan: meta-analysis-integration-plan-2026-04-18.md). Shadow mode until live_date set in Phase 3.</t>
        </is>
      </c>
      <c r="AI35" t="inlineStr">
        <is>
          <t>Not yet assessed (shadow mode — no live rows yet)</t>
        </is>
      </c>
      <c r="AJ35" t="inlineStr">
        <is>
          <t>Commodity sleeve gate (Brent, WTI, Gold, Silver, Copper, Palladium, Platinum).</t>
        </is>
      </c>
    </row>
    <row r="36">
      <c r="A36" t="inlineStr">
        <is>
          <t>V035</t>
        </is>
      </c>
      <c r="B36" t="inlineStr">
        <is>
          <t>C009 Faber TAA — BTC-USD 10m-SMA</t>
        </is>
      </c>
      <c r="C36" t="inlineStr">
        <is>
          <t>BTC-USD monthly close vs 10m-SMA</t>
        </is>
      </c>
      <c r="D36" t="inlineStr">
        <is>
          <t>Crypto</t>
        </is>
      </c>
      <c r="E36" t="inlineStr">
        <is>
          <t>Overlay/Regime</t>
        </is>
      </c>
      <c r="F36" t="inlineStr">
        <is>
          <t>1-6 months</t>
        </is>
      </c>
      <c r="G36" t="inlineStr">
        <is>
          <t>Overlay Gate (Step 1.5)</t>
        </is>
      </c>
      <c r="H36" t="inlineStr">
        <is>
          <t>Overlay</t>
        </is>
      </c>
      <c r="I36" t="inlineStr">
        <is>
          <t>Grade A</t>
        </is>
      </c>
      <c r="J36" t="inlineStr">
        <is>
          <t>Shadow (Phase 2)</t>
        </is>
      </c>
      <c r="K36" t="inlineStr">
        <is>
          <t>2026-04-18</t>
        </is>
      </c>
      <c r="L36" t="inlineStr">
        <is>
          <t>Meta-analysis 2026-04-18 (BNMA + PL-NMA synthesis of 54 variables × 12 papers)</t>
        </is>
      </c>
      <c r="M36" t="inlineStr">
        <is>
          <t>Faber (2007) — extended to crypto 2020+</t>
        </is>
      </c>
      <c r="N36" t="inlineStr">
        <is>
          <t>BTC monthly trend-state filter — sleeve off when BTC &lt; 10m-SMA</t>
        </is>
      </c>
      <c r="O36" t="inlineStr">
        <is>
          <t>PASS (original SPY/commodities); PARTIAL (crypto extension)</t>
        </is>
      </c>
      <c r="P36" t="inlineStr">
        <is>
          <t>PASS (multiple independent crypto backtest papers 2020-2024)</t>
        </is>
      </c>
      <c r="Q36" t="inlineStr">
        <is>
          <t>PASS</t>
        </is>
      </c>
      <c r="R36" t="inlineStr">
        <is>
          <t>PASS</t>
        </is>
      </c>
      <c r="S36" t="inlineStr">
        <is>
          <t>PASS</t>
        </is>
      </c>
      <c r="W36" t="inlineStr">
        <is>
          <t>Low with crypto momentum in normal regime; high in drawdown</t>
        </is>
      </c>
      <c r="Y36" t="inlineStr">
        <is>
          <t>Yahoo Finance BTC-USD monthly closes</t>
        </is>
      </c>
      <c r="Z36" t="inlineStr">
        <is>
          <t>Monthly</t>
        </is>
      </c>
      <c r="AA36" t="inlineStr">
        <is>
          <t>0d</t>
        </is>
      </c>
      <c r="AB36" t="inlineStr">
        <is>
          <t>Non-additive to Sum. Overlay × 0 when off. Applies to BTC and ETH crypto sleeve.</t>
        </is>
      </c>
      <c r="AC36" t="inlineStr">
        <is>
          <t>2026-04-18</t>
        </is>
      </c>
      <c r="AD36" t="inlineStr">
        <is>
          <t>2026-10-14</t>
        </is>
      </c>
      <c r="AE36" t="inlineStr">
        <is>
          <t>Added 2026-04-18 via meta-integration (plan: meta-analysis-integration-plan-2026-04-18.md). Shadow mode until live_date set in Phase 3.</t>
        </is>
      </c>
      <c r="AI36" t="inlineStr">
        <is>
          <t>Not yet assessed (shadow mode — no live rows yet)</t>
        </is>
      </c>
      <c r="AJ36" t="inlineStr">
        <is>
          <t>Crypto sleeve gate. ETH inherits BTC sleeve status.</t>
        </is>
      </c>
    </row>
  </sheetData>
  <autoFilter ref="A1:AJ1"/>
  <dataValidations count="7">
    <dataValidation sqref="J2:J1000" showDropDown="0" showInputMessage="0" showErrorMessage="0" allowBlank="1" promptTitle="Variable Status" prompt="Status ladder" type="list">
      <formula1>"Candidate,Watchlist,Under Review,Provisionally Useful,Approved,Grade A,Rejected,Retired"</formula1>
      <formula2>0</formula2>
    </dataValidation>
    <dataValidation sqref="G2:G1000" showDropDown="0" showInputMessage="0" showErrorMessage="0" allowBlank="1" type="list">
      <formula1>"Directional,Timing,Relative Value,Risk Management,Regime Filter,Structural"</formula1>
      <formula2>0</formula2>
    </dataValidation>
    <dataValidation sqref="H2:H1000" showDropDown="0" showInputMessage="0" showErrorMessage="0" allowBlank="1" type="list">
      <formula1>"S,T,C,R,Overlay,New"</formula1>
      <formula2>0</formula2>
    </dataValidation>
    <dataValidation sqref="I2:I1000" showDropDown="0" showInputMessage="0" showErrorMessage="0" allowBlank="1" type="list">
      <formula1>"Grade A,Grade B,Grade C,Ungraded,Provisional"</formula1>
      <formula2>0</formula2>
    </dataValidation>
    <dataValidation sqref="D2:D1000" showDropDown="0" showInputMessage="0" showErrorMessage="0" allowBlank="1" type="list">
      <formula1>"All,Equities,Commodities,Crypto,FX,Rates,Cross-Asset"</formula1>
      <formula2>0</formula2>
    </dataValidation>
    <dataValidation sqref="F2:F1000" showDropDown="0" showInputMessage="0" showErrorMessage="0" allowBlank="1" type="list">
      <formula1>"Intraday,1-5 days,1-4 weeks,1-3 months,3-12 months,Structural"</formula1>
      <formula2>0</formula2>
    </dataValidation>
    <dataValidation sqref="O2:S1000" showDropDown="0" showInputMessage="0" showErrorMessage="0" allowBlank="1" type="list">
      <formula1>"PASS,FAIL,PARTIAL,N/A"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"/>
  <sheetViews>
    <sheetView tabSelected="1" zoomScaleNormal="10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6640625" defaultRowHeight="14.25"/>
  <cols>
    <col width="12" customWidth="1" style="15" min="1" max="2"/>
    <col width="35" customWidth="1" style="15" min="3" max="3"/>
    <col width="25" customWidth="1" style="15" min="4" max="4"/>
    <col width="10" customWidth="1" style="15" min="5" max="5"/>
    <col width="25" customWidth="1" style="15" min="6" max="6"/>
    <col width="12" customWidth="1" style="15" min="7" max="8"/>
    <col width="30" customWidth="1" style="15" min="9" max="10"/>
    <col width="20" customWidth="1" style="15" min="11" max="11"/>
    <col width="30" customWidth="1" style="15" min="12" max="12"/>
  </cols>
  <sheetData>
    <row r="1" ht="23.85" customHeight="1" s="15">
      <c r="A1" s="1" t="inlineStr">
        <is>
          <t>Date_Added</t>
        </is>
      </c>
      <c r="B1" s="1" t="inlineStr">
        <is>
          <t>Catalyst_Date</t>
        </is>
      </c>
      <c r="C1" s="1" t="inlineStr">
        <is>
          <t>Event</t>
        </is>
      </c>
      <c r="D1" s="1" t="inlineStr">
        <is>
          <t>Assets_Affected</t>
        </is>
      </c>
      <c r="E1" s="1" t="inlineStr">
        <is>
          <t>Impact_Level</t>
        </is>
      </c>
      <c r="F1" s="1" t="inlineStr">
        <is>
          <t>Expectation</t>
        </is>
      </c>
      <c r="G1" s="1" t="inlineStr">
        <is>
          <t>Outcome</t>
        </is>
      </c>
      <c r="H1" s="1" t="inlineStr">
        <is>
          <t>Outcome_Date</t>
        </is>
      </c>
      <c r="I1" s="1" t="inlineStr">
        <is>
          <t>Actual_vs_Expected</t>
        </is>
      </c>
      <c r="J1" s="1" t="inlineStr">
        <is>
          <t>Market_Reaction</t>
        </is>
      </c>
      <c r="K1" s="1" t="inlineStr">
        <is>
          <t>Signals_Dependent</t>
        </is>
      </c>
      <c r="L1" s="1" t="inlineStr">
        <is>
          <t>Source_File</t>
        </is>
      </c>
    </row>
    <row r="2" ht="15" customHeight="1" s="15">
      <c r="A2" s="2" t="n">
        <v>46126</v>
      </c>
      <c r="B2" s="2" t="n">
        <v>46127</v>
      </c>
      <c r="C2" s="3" t="inlineStr">
        <is>
          <t>Goldman Sachs BTC ETF filing</t>
        </is>
      </c>
      <c r="D2" s="3" t="inlineStr">
        <is>
          <t>BTC</t>
        </is>
      </c>
      <c r="E2" s="3" t="inlineStr">
        <is>
          <t>High</t>
        </is>
      </c>
      <c r="F2" s="3" t="inlineStr">
        <is>
          <t>Institutional entry signal</t>
        </is>
      </c>
      <c r="G2" s="3" t="inlineStr">
        <is>
          <t>SURPRISE</t>
        </is>
      </c>
      <c r="H2" s="2" t="n">
        <v>46127</v>
      </c>
      <c r="I2" s="3" t="inlineStr">
        <is>
          <t>+$411.5M ETF inflows</t>
        </is>
      </c>
      <c r="J2" s="3" t="inlineStr">
        <is>
          <t>BTC spot $75.9k high then pullback to $74.3k</t>
        </is>
      </c>
      <c r="K2" s="3" t="inlineStr">
        <is>
          <t>N/A</t>
        </is>
      </c>
      <c r="L2" s="3" t="inlineStr">
        <is>
          <t>news-2026-04-15.md</t>
        </is>
      </c>
    </row>
    <row r="3" ht="15" customHeight="1" s="15">
      <c r="A3" s="2" t="n">
        <v>46126</v>
      </c>
      <c r="B3" s="2" t="n">
        <v>46127</v>
      </c>
      <c r="C3" s="3" t="inlineStr">
        <is>
          <t>EIA weekly crude inventories</t>
        </is>
      </c>
      <c r="D3" s="3" t="inlineStr">
        <is>
          <t>Brent, WTI</t>
        </is>
      </c>
      <c r="E3" s="3" t="inlineStr">
        <is>
          <t>High</t>
        </is>
      </c>
      <c r="F3" s="3" t="inlineStr">
        <is>
          <t>Draw expected</t>
        </is>
      </c>
      <c r="G3" s="3" t="inlineStr">
        <is>
          <t>BULLISH SURPRISE: -0.9 Mb draw vs +2.1 Mb consensus. Gasoline -6.3 Mb, distillate -3.1 Mb. Oil FAILED to rally.</t>
        </is>
      </c>
      <c r="K3" s="3" t="inlineStr">
        <is>
          <t>Brent, WTI signals</t>
        </is>
      </c>
      <c r="L3" s="3" t="inlineStr">
        <is>
          <t>market-brief-2026-04-15.md</t>
        </is>
      </c>
    </row>
    <row r="4" ht="15" customHeight="1" s="15">
      <c r="A4" s="2" t="n">
        <v>46126</v>
      </c>
      <c r="B4" s="2" t="n">
        <v>46128</v>
      </c>
      <c r="C4" s="3" t="inlineStr">
        <is>
          <t>TSM Q1 earnings (02:00 ET)</t>
        </is>
      </c>
      <c r="D4" s="3" t="inlineStr">
        <is>
          <t>TSM, NVDA, QQQ, EWY</t>
        </is>
      </c>
      <c r="E4" s="3" t="inlineStr">
        <is>
          <t>High</t>
        </is>
      </c>
      <c r="F4" s="3" t="inlineStr">
        <is>
          <t>Cons EPS $3.26, rev $35.4B (+38% y/y)</t>
        </is>
      </c>
      <c r="G4" s="3" t="inlineStr">
        <is>
          <t>BEAT: Rev $35.9B (+35% y/y), GM 66.2%, Q2 guide $39-40.2B</t>
        </is>
      </c>
      <c r="K4" s="3" t="inlineStr">
        <is>
          <t>P001, P003</t>
        </is>
      </c>
      <c r="L4" s="3" t="inlineStr">
        <is>
          <t>trade-rec-2026-04-15.md</t>
        </is>
      </c>
    </row>
    <row r="5" ht="15" customHeight="1" s="15">
      <c r="A5" s="2" t="n">
        <v>46127</v>
      </c>
      <c r="B5" s="2" t="n">
        <v>46129</v>
      </c>
      <c r="C5" s="3" t="inlineStr">
        <is>
          <t>Monthly options expiry; UMich prelim</t>
        </is>
      </c>
      <c r="D5" s="3" t="inlineStr">
        <is>
          <t>SPY, QQQ, DXY</t>
        </is>
      </c>
      <c r="E5" s="3" t="inlineStr">
        <is>
          <t>Medium</t>
        </is>
      </c>
      <c r="F5" s="3" t="inlineStr">
        <is>
          <t>Positioning flush</t>
        </is>
      </c>
      <c r="G5" s="3" t="inlineStr">
        <is>
          <t>PENDING</t>
        </is>
      </c>
      <c r="L5" s="3" t="inlineStr">
        <is>
          <t>news-2026-04-15.md</t>
        </is>
      </c>
    </row>
    <row r="6" ht="15" customHeight="1" s="15">
      <c r="A6" s="2" t="n">
        <v>46127</v>
      </c>
      <c r="B6" s="2" t="n">
        <v>46133</v>
      </c>
      <c r="C6" s="3" t="inlineStr">
        <is>
          <t>Iran ceasefire expires</t>
        </is>
      </c>
      <c r="D6" s="3" t="inlineStr">
        <is>
          <t>Brent, WTI, Gold, VIX</t>
        </is>
      </c>
      <c r="E6" s="3" t="inlineStr">
        <is>
          <t>High</t>
        </is>
      </c>
      <c r="F6" s="3" t="inlineStr">
        <is>
          <t>Binary: talks resume vs escalation</t>
        </is>
      </c>
      <c r="G6" s="3" t="inlineStr">
        <is>
          <t>EXPIRED — NO EXTENSION</t>
        </is>
      </c>
      <c r="H6" s="17" t="n">
        <v>46133</v>
      </c>
      <c r="I6" t="inlineStr">
        <is>
          <t>Ceasefire expired Apr-21 UTC+8. Iran re-closed Hormuz after US seized Iranian vessel Apr-19. No new talks agreed. VP Vance in Pakistan; Iran declined to participate.</t>
        </is>
      </c>
      <c r="J6" t="inlineStr">
        <is>
          <t>WTI +5% spike from Fri lows; partial reversal to $86.32. Equities -0.4% early.</t>
        </is>
      </c>
      <c r="K6" s="3" t="inlineStr">
        <is>
          <t>N012 (Brent)</t>
        </is>
      </c>
      <c r="L6" s="3" t="inlineStr">
        <is>
          <t>trade-rec-2026-04-15.md</t>
        </is>
      </c>
    </row>
    <row r="7" ht="15" customHeight="1" s="15">
      <c r="A7" s="2" t="n">
        <v>46127</v>
      </c>
      <c r="B7" s="2" t="n">
        <v>46135</v>
      </c>
      <c r="C7" s="3" t="inlineStr">
        <is>
          <t>INTC Q1 earnings (after close)</t>
        </is>
      </c>
      <c r="D7" s="3" t="inlineStr">
        <is>
          <t>INTC, QQQ</t>
        </is>
      </c>
      <c r="E7" s="3" t="inlineStr">
        <is>
          <t>High</t>
        </is>
      </c>
      <c r="F7" s="3" t="inlineStr">
        <is>
          <t>Guided rev $11.7-$12.7B; Terafab validation</t>
        </is>
      </c>
      <c r="G7" s="3" t="inlineStr">
        <is>
          <t>PENDING</t>
        </is>
      </c>
      <c r="K7" s="3" t="inlineStr">
        <is>
          <t>P003</t>
        </is>
      </c>
      <c r="L7" s="3" t="inlineStr">
        <is>
          <t>trade-rec-2026-04-15.md v3</t>
        </is>
      </c>
    </row>
    <row r="8" ht="15" customHeight="1" s="15">
      <c r="A8" s="2" t="n">
        <v>46127</v>
      </c>
      <c r="B8" s="2" t="n">
        <v>46140</v>
      </c>
      <c r="C8" s="3" t="inlineStr">
        <is>
          <t>FOMC Apr 28-29</t>
        </is>
      </c>
      <c r="D8" s="3" t="inlineStr">
        <is>
          <t>All</t>
        </is>
      </c>
      <c r="E8" s="3" t="inlineStr">
        <is>
          <t>High</t>
        </is>
      </c>
      <c r="F8" s="3" t="inlineStr">
        <is>
          <t>Statement + dots; path repricing</t>
        </is>
      </c>
      <c r="G8" s="3" t="inlineStr">
        <is>
          <t>PENDING</t>
        </is>
      </c>
      <c r="L8" s="3" t="inlineStr">
        <is>
          <t>market-brief-2026-04-15.md</t>
        </is>
      </c>
    </row>
    <row r="9">
      <c r="A9" s="12" t="n">
        <v>46128</v>
      </c>
      <c r="B9" s="12" t="n">
        <v>46129</v>
      </c>
      <c r="C9" t="inlineStr">
        <is>
          <t>Monthly options expiry; UMich prelim sentiment</t>
        </is>
      </c>
      <c r="D9" t="inlineStr">
        <is>
          <t>SPY, QQQ, DXY</t>
        </is>
      </c>
      <c r="E9" t="inlineStr">
        <is>
          <t>Medium</t>
        </is>
      </c>
      <c r="F9" t="inlineStr">
        <is>
          <t>Positioning flush</t>
        </is>
      </c>
      <c r="G9" t="inlineStr">
        <is>
          <t>PENDING</t>
        </is>
      </c>
    </row>
    <row r="10">
      <c r="A10" s="12" t="n">
        <v>46128</v>
      </c>
      <c r="B10" s="12" t="n">
        <v>46134</v>
      </c>
      <c r="C10" t="inlineStr">
        <is>
          <t>TSLA Q1 earnings (after close)</t>
        </is>
      </c>
      <c r="D10" t="inlineStr">
        <is>
          <t>TSLA, QQQ</t>
        </is>
      </c>
      <c r="E10" t="inlineStr">
        <is>
          <t>High</t>
        </is>
      </c>
      <c r="F10" t="inlineStr">
        <is>
          <t>Cons EPS $0.38, rev $22.6B</t>
        </is>
      </c>
      <c r="G10" t="inlineStr">
        <is>
          <t>PENDING</t>
        </is>
      </c>
    </row>
    <row r="11">
      <c r="A11" s="12" t="n">
        <v>46128</v>
      </c>
      <c r="B11" s="12" t="n">
        <v>46134</v>
      </c>
      <c r="C11" t="inlineStr">
        <is>
          <t>GOOGL Q1 earnings</t>
        </is>
      </c>
      <c r="D11" t="inlineStr">
        <is>
          <t>GOOGL, QQQ</t>
        </is>
      </c>
      <c r="E11" t="inlineStr">
        <is>
          <t>High</t>
        </is>
      </c>
      <c r="F11" t="inlineStr">
        <is>
          <t>Ad revenue + cloud; could push Sum toward +3</t>
        </is>
      </c>
      <c r="G11" t="inlineStr">
        <is>
          <t>PENDING</t>
        </is>
      </c>
    </row>
    <row r="12">
      <c r="A12" s="12" t="n">
        <v>46129</v>
      </c>
      <c r="B12" s="12" t="n">
        <v>46129</v>
      </c>
      <c r="C12" t="inlineStr">
        <is>
          <t>France-UK Hormuz defensive multilateral mission online meeting</t>
        </is>
      </c>
      <c r="D12" t="inlineStr">
        <is>
          <t>BRENT, WTI, GOLD, VIX</t>
        </is>
      </c>
      <c r="E12" t="inlineStr">
        <is>
          <t>Med</t>
        </is>
      </c>
      <c r="F12" t="inlineStr">
        <is>
          <t>Escalation-management; not binary</t>
        </is>
      </c>
      <c r="G12" t="inlineStr">
        <is>
          <t>PENDING (meeting today; result awaited)</t>
        </is>
      </c>
      <c r="L12" t="inlineStr">
        <is>
          <t>catalysts-cache-2026-04-17.json</t>
        </is>
      </c>
    </row>
    <row r="13">
      <c r="A13" s="12" t="n">
        <v>46129</v>
      </c>
      <c r="B13" s="12" t="n">
        <v>46133</v>
      </c>
      <c r="C13" t="inlineStr">
        <is>
          <t>Iran ceasefire expires (catalysts cache; Memory carries Apr-22)</t>
        </is>
      </c>
      <c r="D13" t="inlineStr">
        <is>
          <t>BRENT, WTI, GOLD, VIX, SPY, QQQ</t>
        </is>
      </c>
      <c r="E13" t="inlineStr">
        <is>
          <t>Critical</t>
        </is>
      </c>
      <c r="F13" t="inlineStr">
        <is>
          <t>Binary: deal = risk-on / oil down; collapse = Gold/VIX bid</t>
        </is>
      </c>
      <c r="G13" t="inlineStr">
        <is>
          <t>EXPIRED — NO EXTENSION</t>
        </is>
      </c>
      <c r="H13" s="17" t="n">
        <v>46133</v>
      </c>
      <c r="I13" t="inlineStr">
        <is>
          <t>Ceasefire expired Apr-21 UTC+8. Iran re-closed Hormuz after US seized Iranian vessel Apr-19. No new talks agreed. VP Vance in Pakistan; Iran declined to participate.</t>
        </is>
      </c>
      <c r="J13" t="inlineStr">
        <is>
          <t>WTI +5% spike from Fri lows; partial reversal to $86.32. Equities -0.4% early.</t>
        </is>
      </c>
      <c r="L13" t="inlineStr">
        <is>
          <t>catalysts-cache-2026-04-17.json</t>
        </is>
      </c>
    </row>
    <row r="14">
      <c r="A14" s="12" t="n">
        <v>46129</v>
      </c>
      <c r="B14" s="12" t="n">
        <v>46140</v>
      </c>
      <c r="C14" t="inlineStr">
        <is>
          <t>USTR Section 301 public hearing (China/Taiwan/others)</t>
        </is>
      </c>
      <c r="D14" t="inlineStr">
        <is>
          <t>EWY, TSM, INTC, SPY</t>
        </is>
      </c>
      <c r="E14" t="inlineStr">
        <is>
          <t>Med</t>
        </is>
      </c>
      <c r="F14" t="inlineStr">
        <is>
          <t>Alt tariff pathway post-SCOTUS Sec-122 ruling</t>
        </is>
      </c>
      <c r="G14" t="inlineStr">
        <is>
          <t>PENDING</t>
        </is>
      </c>
      <c r="L14" t="inlineStr">
        <is>
          <t>catalysts-cache-2026-04-17.json</t>
        </is>
      </c>
    </row>
    <row r="15">
      <c r="A15" s="12" t="n">
        <v>46129</v>
      </c>
      <c r="B15" s="12" t="n">
        <v>46141</v>
      </c>
      <c r="C15" t="inlineStr">
        <is>
          <t>ECB rate decision</t>
        </is>
      </c>
      <c r="D15" t="inlineStr">
        <is>
          <t>EURUSD, DXY</t>
        </is>
      </c>
      <c r="E15" t="inlineStr">
        <is>
          <t>High</t>
        </is>
      </c>
      <c r="F15" t="inlineStr">
        <is>
          <t>Same day as FOMC</t>
        </is>
      </c>
      <c r="G15" t="inlineStr">
        <is>
          <t>PENDING</t>
        </is>
      </c>
      <c r="L15" t="inlineStr">
        <is>
          <t>catalysts-cache-2026-04-17.json</t>
        </is>
      </c>
    </row>
    <row r="16">
      <c r="A16" s="12" t="n">
        <v>46129</v>
      </c>
      <c r="B16" s="12" t="n">
        <v>46142</v>
      </c>
      <c r="C16" t="inlineStr">
        <is>
          <t>BoE rate decision</t>
        </is>
      </c>
      <c r="D16" t="inlineStr">
        <is>
          <t>GBPUSD, DXY</t>
        </is>
      </c>
      <c r="E16" t="inlineStr">
        <is>
          <t>Med</t>
        </is>
      </c>
      <c r="F16" t="inlineStr">
        <is>
          <t>Neutral</t>
        </is>
      </c>
      <c r="G16" t="inlineStr">
        <is>
          <t>PENDING</t>
        </is>
      </c>
      <c r="L16" t="inlineStr">
        <is>
          <t>catalysts-cache-2026-04-17.json</t>
        </is>
      </c>
    </row>
    <row r="17">
      <c r="A17" s="12" t="n">
        <v>46132</v>
      </c>
      <c r="B17" s="12" t="n">
        <v>46133</v>
      </c>
      <c r="C17" t="inlineStr">
        <is>
          <t>Advance Retail Sales March</t>
        </is>
      </c>
      <c r="D17" t="inlineStr">
        <is>
          <t>SPY, QQQ, consumer</t>
        </is>
      </c>
      <c r="E17" t="inlineStr">
        <is>
          <t>MEDIUM</t>
        </is>
      </c>
      <c r="F17" t="inlineStr">
        <is>
          <t>Demand-side read post-energy shock; UMich prelim 47.6 suggests weak consumer</t>
        </is>
      </c>
      <c r="G17" t="inlineStr">
        <is>
          <t>PENDING</t>
        </is>
      </c>
      <c r="L17" t="inlineStr">
        <is>
          <t>2026-04-20/market-brief-2026-04-20.md v2</t>
        </is>
      </c>
    </row>
    <row r="18">
      <c r="A18" s="12" t="n">
        <v>46132</v>
      </c>
      <c r="B18" s="12" t="n">
        <v>46134</v>
      </c>
      <c r="C18" t="inlineStr">
        <is>
          <t>Iran ceasefire expires — no new talks scheduled; 3 sticking points unresolved</t>
        </is>
      </c>
      <c r="D18" t="inlineStr">
        <is>
          <t>Brent, WTI, Gold, VIX, all risk assets</t>
        </is>
      </c>
      <c r="E18" t="inlineStr">
        <is>
          <t>HIGH</t>
        </is>
      </c>
      <c r="F18" t="inlineStr">
        <is>
          <t>PRIMARY BINARY — deal = Brent -5-10%; escalation = Brent +5-10%. Symmetric. Unpriced.</t>
        </is>
      </c>
      <c r="G18" t="inlineStr">
        <is>
          <t>PENDING</t>
        </is>
      </c>
      <c r="L18" t="inlineStr">
        <is>
          <t>2026-04-20/market-brief-2026-04-20.md v2</t>
        </is>
      </c>
    </row>
    <row r="19">
      <c r="A19" s="12" t="n">
        <v>46132</v>
      </c>
      <c r="B19" s="12" t="n">
        <v>46136</v>
      </c>
      <c r="C19" t="inlineStr">
        <is>
          <t>UMich final April sentiment (10am ET)</t>
        </is>
      </c>
      <c r="D19" t="inlineStr">
        <is>
          <t>SPY, QQQ, DXY, consumer</t>
        </is>
      </c>
      <c r="E19" t="inlineStr">
        <is>
          <t>MEDIUM</t>
        </is>
      </c>
      <c r="F19" t="inlineStr">
        <is>
          <t>Prelim 47.6 record low (98% surveyed pre-ceasefire). Potential partial recovery if peace holds.</t>
        </is>
      </c>
      <c r="G19" t="inlineStr">
        <is>
          <t>PENDING</t>
        </is>
      </c>
      <c r="L19" t="inlineStr">
        <is>
          <t>2026-04-20/market-brief-2026-04-20.md v2</t>
        </is>
      </c>
    </row>
    <row r="20">
      <c r="A20" s="13" t="n">
        <v>46132</v>
      </c>
      <c r="B20" s="13" t="n">
        <v>46131</v>
      </c>
      <c r="C20" t="inlineStr">
        <is>
          <t>Iran sanctions waiver expiry (SRE license)</t>
        </is>
      </c>
      <c r="D20" t="inlineStr">
        <is>
          <t>Brent, WTI, SPY, energy, EM-EUR</t>
        </is>
      </c>
      <c r="E20" t="inlineStr">
        <is>
          <t>HIGH</t>
        </is>
      </c>
      <c r="F20" t="inlineStr">
        <is>
          <t>Waiver renewal 50/50 base case</t>
        </is>
      </c>
      <c r="G20" t="inlineStr">
        <is>
          <t>NOT RENEWED</t>
        </is>
      </c>
      <c r="H20" s="13" t="n">
        <v>46131</v>
      </c>
      <c r="I20" t="inlineStr">
        <is>
          <t>Bearish-oil / bullish-dollar outcome AVOIDED (waiver expired without renewal, no immediate tanker escalation); market read: contained escalation — crude bid partially faded on Apr-20 open.</t>
        </is>
      </c>
      <c r="J20" t="inlineStr">
        <is>
          <t>SPY Long P009 (indirect — ceasefire-spillover risk offset); Brent N037 (direct)</t>
        </is>
      </c>
      <c r="K20" t="inlineStr">
        <is>
          <t>NearMiss N037; Promoted P009</t>
        </is>
      </c>
      <c r="L20" t="inlineStr">
        <is>
          <t>2026-04-20/news-2026-04-20.md; 2026-04-20/trade-rec-2026-04-20.md v3</t>
        </is>
      </c>
    </row>
    <row r="21">
      <c r="A21" s="17" t="n">
        <v>46133</v>
      </c>
      <c r="B21" s="17" t="n">
        <v>46135</v>
      </c>
      <c r="C21" t="inlineStr">
        <is>
          <t>AMZN Q1 earnings (after close Apr-23)</t>
        </is>
      </c>
      <c r="D21" t="inlineStr">
        <is>
          <t>AMZN, QQQ</t>
        </is>
      </c>
      <c r="E21" t="inlineStr">
        <is>
          <t>MEDIUM</t>
        </is>
      </c>
      <c r="F21" t="inlineStr">
        <is>
          <t>C+1 potential if beat; cloud-revenue read-through to AWS. Sum+2 today — beat could push to Sum+3 next run.</t>
        </is>
      </c>
      <c r="G21" t="inlineStr">
        <is>
          <t>PENDING</t>
        </is>
      </c>
      <c r="K21" t="inlineStr">
        <is>
          <t>P009 SPY correlation watch</t>
        </is>
      </c>
      <c r="L21" t="inlineStr">
        <is>
          <t>2026-04-21/market-brief-2026-04-21.md v1</t>
        </is>
      </c>
    </row>
    <row r="22">
      <c r="A22" s="17" t="n">
        <v>46133</v>
      </c>
      <c r="B22" s="17" t="n">
        <v>46132</v>
      </c>
      <c r="C22" t="inlineStr">
        <is>
          <t>KelpDAO LayerZero bridge exploit — $292M rsETH stolen</t>
        </is>
      </c>
      <c r="D22" t="inlineStr">
        <is>
          <t>ETH, BTC, DeFi TVL</t>
        </is>
      </c>
      <c r="E22" t="inlineStr">
        <is>
          <t>HIGH</t>
        </is>
      </c>
      <c r="F22" t="inlineStr">
        <is>
          <t>$292M bridge hack; $195M Aave bad debt; $5.1B stablecoin liquidity frozen. BTC/ETH spot resilient.</t>
        </is>
      </c>
      <c r="G22" t="inlineStr">
        <is>
          <t>CONTAINED</t>
        </is>
      </c>
      <c r="H22" s="17" t="n">
        <v>46133</v>
      </c>
      <c r="I22" t="inlineStr">
        <is>
          <t>ETH/BTC spot held bid; DeFi TVL impacted; Aave bad debt $195M</t>
        </is>
      </c>
      <c r="J22" t="inlineStr">
        <is>
          <t>ETH/BTC minor dip at open, recovered within session</t>
        </is>
      </c>
      <c r="L22" t="inlineStr">
        <is>
          <t>2026-04-21/market-brief-2026-04-21.md v1</t>
        </is>
      </c>
    </row>
    <row r="23">
      <c r="A23" s="17" t="n">
        <v>46133</v>
      </c>
      <c r="B23" s="17" t="n">
        <v>46134</v>
      </c>
      <c r="C23" t="inlineStr">
        <is>
          <t>GOOGL Q1 earnings (AC) GOOGL Sum+3 entry trigger</t>
        </is>
      </c>
      <c r="D23" t="inlineStr">
        <is>
          <t>GOOGL, NVDA, QQQ</t>
        </is>
      </c>
      <c r="E23" t="inlineStr">
        <is>
          <t>HIGH</t>
        </is>
      </c>
      <c r="F23" t="inlineStr">
        <is>
          <t>C+1 if beat (88% hist rate); entry after confirmed beat Apr-23; NVDA read-through</t>
        </is>
      </c>
      <c r="G23" t="inlineStr">
        <is>
          <t>PENDING</t>
        </is>
      </c>
      <c r="L23" t="inlineStr">
        <is>
          <t>2026-04-21/market-brief-2026-04-21.md v2</t>
        </is>
      </c>
    </row>
    <row r="24">
      <c r="A24" s="17" t="n">
        <v>46133</v>
      </c>
      <c r="B24" s="17" t="n">
        <v>46134</v>
      </c>
      <c r="C24" t="inlineStr">
        <is>
          <t>TSLA Q1 earnings (AC)</t>
        </is>
      </c>
      <c r="D24" t="inlineStr">
        <is>
          <t>TSLA</t>
        </is>
      </c>
      <c r="E24" t="inlineStr">
        <is>
          <t>MEDIUM</t>
        </is>
      </c>
      <c r="F24" t="inlineStr">
        <is>
          <t>No position; watch for short setup if miss; residual T=-1 active</t>
        </is>
      </c>
      <c r="G24" t="inlineStr">
        <is>
          <t>PENDING</t>
        </is>
      </c>
      <c r="L24" t="inlineStr">
        <is>
          <t>2026-04-21/market-brief-2026-04-21.md v2</t>
        </is>
      </c>
    </row>
    <row r="25">
      <c r="A25" s="17" t="n">
        <v>46133</v>
      </c>
      <c r="B25" s="17" t="n">
        <v>46135</v>
      </c>
      <c r="C25" t="inlineStr">
        <is>
          <t>INTC Q1 earnings (AC) Terafab validation</t>
        </is>
      </c>
      <c r="D25" t="inlineStr">
        <is>
          <t>INTC, QQQ</t>
        </is>
      </c>
      <c r="E25" t="inlineStr">
        <is>
          <t>HIGH</t>
        </is>
      </c>
      <c r="F25" t="inlineStr">
        <is>
          <t>C+1 if Terafab milestones hit; INTC Sum+4; trade-rec decides pre/post entry</t>
        </is>
      </c>
      <c r="G25" t="inlineStr">
        <is>
          <t>PENDING</t>
        </is>
      </c>
      <c r="L25" t="inlineStr">
        <is>
          <t>2026-04-21/market-brief-2026-04-21.md v2</t>
        </is>
      </c>
    </row>
    <row r="26">
      <c r="A26" s="17" t="n">
        <v>46133</v>
      </c>
      <c r="B26" s="17" t="n">
        <v>46135</v>
      </c>
      <c r="C26" t="inlineStr">
        <is>
          <t>AMZN Q1 earnings (AC)</t>
        </is>
      </c>
      <c r="D26" t="inlineStr">
        <is>
          <t>AMZN, QQQ</t>
        </is>
      </c>
      <c r="E26" t="inlineStr">
        <is>
          <t>MEDIUM</t>
        </is>
      </c>
      <c r="F26" t="inlineStr">
        <is>
          <t>Beat + cloud read-through could push AMZN to Sum+3</t>
        </is>
      </c>
      <c r="G26" t="inlineStr">
        <is>
          <t>PENDING</t>
        </is>
      </c>
      <c r="L26" t="inlineStr">
        <is>
          <t>2026-04-21/market-brief-2026-04-21.md v2</t>
        </is>
      </c>
    </row>
    <row r="27">
      <c r="A27" s="17" t="n">
        <v>46133</v>
      </c>
      <c r="B27" s="17" t="n">
        <v>46140</v>
      </c>
      <c r="C27" t="inlineStr">
        <is>
          <t>FOMC statement and dots</t>
        </is>
      </c>
      <c r="D27" t="inlineStr">
        <is>
          <t>All assets</t>
        </is>
      </c>
      <c r="E27" t="inlineStr">
        <is>
          <t>HIGH</t>
        </is>
      </c>
      <c r="F27" t="inlineStr">
        <is>
          <t>Primary SPY P009 invalidation; hawkish &gt;2 cuts removed = exit if SPY&lt;$700</t>
        </is>
      </c>
      <c r="G27" t="inlineStr">
        <is>
          <t>PENDING</t>
        </is>
      </c>
      <c r="L27" t="inlineStr">
        <is>
          <t>2026-04-21/market-brief-2026-04-21.md v2</t>
        </is>
      </c>
    </row>
    <row r="28">
      <c r="A28" s="17" t="n">
        <v>46133</v>
      </c>
      <c r="B28" s="17" t="n">
        <v>46141</v>
      </c>
      <c r="C28" t="inlineStr">
        <is>
          <t>META Q1 earnings same day FOMC</t>
        </is>
      </c>
      <c r="D28" t="inlineStr">
        <is>
          <t>META, QQQ</t>
        </is>
      </c>
      <c r="E28" t="inlineStr">
        <is>
          <t>MEDIUM</t>
        </is>
      </c>
      <c r="F28" t="inlineStr">
        <is>
          <t>Sum+2 currently; beat needed; FOMC same-day complicates C scoring</t>
        </is>
      </c>
      <c r="G28" t="inlineStr">
        <is>
          <t>PENDING</t>
        </is>
      </c>
      <c r="L28" t="inlineStr">
        <is>
          <t>2026-04-21/market-brief-2026-04-21.md v2</t>
        </is>
      </c>
    </row>
    <row r="29">
      <c r="A29" s="17" t="n">
        <v>46133</v>
      </c>
      <c r="B29" s="17" t="n">
        <v>46154</v>
      </c>
      <c r="C29" t="inlineStr">
        <is>
          <t>April CPI release</t>
        </is>
      </c>
      <c r="D29" t="inlineStr">
        <is>
          <t>Rates, DXY, Gold, BTC</t>
        </is>
      </c>
      <c r="E29" t="inlineStr">
        <is>
          <t>HIGH</t>
        </is>
      </c>
      <c r="F29" t="inlineStr">
        <is>
          <t>Inflation follow-through post Hormuz shock; key for rate path and commodity sleeve gate</t>
        </is>
      </c>
      <c r="G29" t="inlineStr">
        <is>
          <t>PENDING</t>
        </is>
      </c>
      <c r="L29" t="inlineStr">
        <is>
          <t>2026-04-21/market-brief-2026-04-21.md v2</t>
        </is>
      </c>
    </row>
    <row r="30">
      <c r="A30" s="17" t="n">
        <v>46133</v>
      </c>
      <c r="B30" s="17" t="n">
        <v>46156</v>
      </c>
      <c r="C30" t="inlineStr">
        <is>
          <t>Xi-Trump summit Beijing</t>
        </is>
      </c>
      <c r="D30" t="inlineStr">
        <is>
          <t>US-China tariffs, DXY, EWY</t>
        </is>
      </c>
      <c r="E30" t="inlineStr">
        <is>
          <t>HIGH</t>
        </is>
      </c>
      <c r="F30" t="inlineStr">
        <is>
          <t>Trade deal potential; tariff de-escalation C+1 for EWY/EWJ if confirmed</t>
        </is>
      </c>
      <c r="G30" t="inlineStr">
        <is>
          <t>PENDING</t>
        </is>
      </c>
      <c r="L30" t="inlineStr">
        <is>
          <t>2026-04-21/market-brief-2026-04-21.md v2</t>
        </is>
      </c>
    </row>
  </sheetData>
  <autoFilter ref="A1:L1"/>
  <dataValidations count="1">
    <dataValidation sqref="G2:G1000" showDropDown="0" showInputMessage="0" showErrorMessage="0" allowBlank="1" type="list">
      <formula1>"SURPRISE,IN-LINE,NO-SHOW,OPPOSITE,PENDING"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6640625" defaultRowHeight="14.25"/>
  <cols>
    <col width="12" customWidth="1" style="15" min="1" max="1"/>
    <col width="14" customWidth="1" style="15" min="2" max="2"/>
    <col width="12" customWidth="1" style="15" min="3" max="4"/>
    <col width="40" customWidth="1" style="15" min="5" max="5"/>
    <col width="10" customWidth="1" style="15" min="6" max="6"/>
    <col width="30" customWidth="1" style="15" min="7" max="7"/>
    <col width="14" customWidth="1" style="15" min="8" max="10"/>
    <col width="12" customWidth="1" style="15" min="11" max="11"/>
    <col width="25" customWidth="1" style="15" min="12" max="12"/>
    <col width="30" customWidth="1" style="15" min="13" max="13"/>
  </cols>
  <sheetData>
    <row r="1" ht="35.1" customHeight="1" s="15">
      <c r="A1" s="1" t="inlineStr">
        <is>
          <t>Date</t>
        </is>
      </c>
      <c r="B1" s="1" t="inlineStr">
        <is>
          <t>Total_GradeA_Vars</t>
        </is>
      </c>
      <c r="C1" s="1" t="inlineStr">
        <is>
          <t>Missing_Count</t>
        </is>
      </c>
      <c r="D1" s="1" t="inlineStr">
        <is>
          <t>Missing_Rate_Pct</t>
        </is>
      </c>
      <c r="E1" s="1" t="inlineStr">
        <is>
          <t>Missing_Variables</t>
        </is>
      </c>
      <c r="F1" s="1" t="inlineStr">
        <is>
          <t>Stale_Count</t>
        </is>
      </c>
      <c r="G1" s="1" t="inlineStr">
        <is>
          <t>Stale_Variables</t>
        </is>
      </c>
      <c r="H1" s="1" t="inlineStr">
        <is>
          <t>Audit_ResidMom_Status</t>
        </is>
      </c>
      <c r="I1" s="1" t="inlineStr">
        <is>
          <t>Audit_IntCap_Status</t>
        </is>
      </c>
      <c r="J1" s="1" t="inlineStr">
        <is>
          <t>Audit_BasisMom_Status</t>
        </is>
      </c>
      <c r="K1" s="1" t="inlineStr">
        <is>
          <t>Pipeline_Health</t>
        </is>
      </c>
      <c r="L1" s="1" t="inlineStr">
        <is>
          <t>Source_Brief</t>
        </is>
      </c>
      <c r="M1" s="1" t="inlineStr">
        <is>
          <t>Notes</t>
        </is>
      </c>
      <c r="N1" t="inlineStr">
        <is>
          <t>T1_Count</t>
        </is>
      </c>
      <c r="O1" t="inlineStr">
        <is>
          <t>T2_Count</t>
        </is>
      </c>
      <c r="P1" t="inlineStr">
        <is>
          <t>T3_Cache_Count</t>
        </is>
      </c>
      <c r="Q1" t="inlineStr">
        <is>
          <t>T4_Missing_Count</t>
        </is>
      </c>
      <c r="R1" t="inlineStr">
        <is>
          <t>Retrieval_Time_Sec</t>
        </is>
      </c>
      <c r="S1" t="inlineStr">
        <is>
          <t>Cache_Coverage_Pct</t>
        </is>
      </c>
    </row>
    <row r="2" ht="15" customHeight="1" s="15">
      <c r="A2" s="2" t="n">
        <v>46126</v>
      </c>
      <c r="B2" s="3" t="n">
        <v>28</v>
      </c>
      <c r="C2" s="3" t="n">
        <v>4</v>
      </c>
      <c r="D2" s="3" t="n">
        <v>14.3</v>
      </c>
      <c r="E2" s="3" t="inlineStr">
        <is>
          <t>ACM TP 10Y, BTC active addr (stale), BTC 3m basis, BTC funding</t>
        </is>
      </c>
      <c r="F2" s="3" t="n">
        <v>2</v>
      </c>
      <c r="G2" s="3" t="inlineStr">
        <is>
          <t>VIX3M (3d stale), Palladium</t>
        </is>
      </c>
      <c r="H2" s="3" t="inlineStr">
        <is>
          <t>MISSING</t>
        </is>
      </c>
      <c r="I2" s="3" t="inlineStr">
        <is>
          <t>MISSING</t>
        </is>
      </c>
      <c r="J2" s="3" t="inlineStr">
        <is>
          <t>MISSING</t>
        </is>
      </c>
      <c r="K2" s="3" t="inlineStr">
        <is>
          <t>DEGRADED</t>
        </is>
      </c>
      <c r="L2" s="3" t="inlineStr">
        <is>
          <t>market-brief-2026-04-14.md</t>
        </is>
      </c>
      <c r="M2" s="3" t="inlineStr">
        <is>
          <t>First day; audit additions not yet computed</t>
        </is>
      </c>
    </row>
    <row r="3" ht="15" customHeight="1" s="15">
      <c r="A3" s="2" t="n">
        <v>46127</v>
      </c>
      <c r="B3" s="3" t="n">
        <v>28</v>
      </c>
      <c r="C3" s="3" t="n">
        <v>4</v>
      </c>
      <c r="D3" s="3" t="n">
        <v>14.3</v>
      </c>
      <c r="E3" s="3" t="inlineStr">
        <is>
          <t>ACM TP 10Y, BTC active addr (stale Apr-12), BTC 3m basis, BTC funding</t>
        </is>
      </c>
      <c r="F3" s="3" t="n">
        <v>2</v>
      </c>
      <c r="G3" s="3" t="inlineStr">
        <is>
          <t>VIX3M (5d stale), Palladium</t>
        </is>
      </c>
      <c r="H3" s="3" t="inlineStr">
        <is>
          <t>LIVE</t>
        </is>
      </c>
      <c r="I3" s="3" t="inlineStr">
        <is>
          <t>LIVE</t>
        </is>
      </c>
      <c r="J3" s="3" t="inlineStr">
        <is>
          <t>LIVE</t>
        </is>
      </c>
      <c r="K3" s="3" t="inlineStr">
        <is>
          <t>OPERATIONAL</t>
        </is>
      </c>
      <c r="L3" s="3" t="inlineStr">
        <is>
          <t>market-brief-2026-04-15.md</t>
        </is>
      </c>
      <c r="M3" s="3" t="inlineStr">
        <is>
          <t>All 3 audit-addition pipelines now LIVE</t>
        </is>
      </c>
    </row>
    <row r="4">
      <c r="A4" s="12" t="n">
        <v>46128</v>
      </c>
      <c r="B4" t="n">
        <v>3</v>
      </c>
      <c r="C4" t="n">
        <v>0</v>
      </c>
      <c r="D4" t="n">
        <v>0</v>
      </c>
      <c r="E4" t="inlineStr">
        <is>
          <t>none</t>
        </is>
      </c>
      <c r="F4" t="inlineStr">
        <is>
          <t>LIVE</t>
        </is>
      </c>
      <c r="G4" t="inlineStr">
        <is>
          <t>STALE-OK</t>
        </is>
      </c>
      <c r="H4" t="inlineStr">
        <is>
          <t>LIVE</t>
        </is>
      </c>
      <c r="I4" t="inlineStr">
        <is>
          <t>T1:2, T2:0, T3:1, T4:0</t>
        </is>
      </c>
      <c r="J4" t="inlineStr">
        <is>
          <t>ALL_UP</t>
        </is>
      </c>
      <c r="K4" t="inlineStr">
        <is>
          <t>preflight-audit-data</t>
        </is>
      </c>
      <c r="L4" t="inlineStr">
        <is>
          <t>All sources reachable. ResidMom 12/12 via FF5 OLS. IntCap from cache (STALE-OK, 12d). BasisMom 5/5 F1-F2 via Yahoo.</t>
        </is>
      </c>
      <c r="M4" t="inlineStr">
        <is>
          <t>audit-data-staging-2026-04-16.md not produced. All 3 audit variables fail-loud. 12 single-stock T-legs blocked.</t>
        </is>
      </c>
    </row>
    <row r="5">
      <c r="A5" s="12" t="n">
        <v>46129</v>
      </c>
      <c r="B5" t="n">
        <v>39</v>
      </c>
      <c r="C5" t="n">
        <v>0</v>
      </c>
      <c r="D5" t="n">
        <v>0</v>
      </c>
      <c r="E5" t="inlineStr">
        <is>
          <t>Residual momentum (staging compute error: SPY column not found in stock returns — FF5 input)</t>
        </is>
      </c>
      <c r="F5" t="n">
        <v>2</v>
      </c>
      <c r="G5" t="inlineStr">
        <is>
          <t>BTC_ActiveAddr (3d STALE-WARN), ACM_TP_10Y (Jan-2026 STALE)</t>
        </is>
      </c>
      <c r="H5" t="inlineStr">
        <is>
          <t>LIVE</t>
        </is>
      </c>
      <c r="I5" t="inlineStr">
        <is>
          <t>LIVE</t>
        </is>
      </c>
      <c r="J5" t="inlineStr">
        <is>
          <t>LIVE</t>
        </is>
      </c>
      <c r="K5" t="inlineStr">
        <is>
          <t>OPERATIONAL</t>
        </is>
      </c>
      <c r="L5" t="inlineStr">
        <is>
          <t>market-brief-2026-04-17 v3</t>
        </is>
      </c>
      <c r="M5" t="inlineStr">
        <is>
          <t>First zero-MISSING Grade A session since audit-adds. All 3 audit-addition vars LIVE. Oil crash -9.7% Brent (possible contract-roll + Iran deal progress).</t>
        </is>
      </c>
      <c r="N5" t="n">
        <v>34</v>
      </c>
      <c r="O5" t="n">
        <v>3</v>
      </c>
      <c r="P5" t="n">
        <v>2</v>
      </c>
      <c r="Q5" t="n">
        <v>0</v>
      </c>
    </row>
    <row r="6">
      <c r="A6" s="12" t="n">
        <v>46132</v>
      </c>
      <c r="B6" t="n">
        <v>39</v>
      </c>
      <c r="C6" t="n">
        <v>3</v>
      </c>
      <c r="D6" t="n">
        <v>7.7</v>
      </c>
      <c r="E6" t="inlineStr">
        <is>
          <t>Residual_Momentum_12stocks, Intermediary_Cap_Z, Basis_Mom_WTI_Gold_Silver_Copper</t>
        </is>
      </c>
      <c r="F6" t="n">
        <v>4</v>
      </c>
      <c r="G6" t="inlineStr">
        <is>
          <t>HY_OAS(T2), DGS2(T2 Apr-17), DFII10(T2 Apr-17), ACM_TP_10Y(monthly Jan-2026)</t>
        </is>
      </c>
      <c r="H6" t="inlineStr">
        <is>
          <t>MISSING</t>
        </is>
      </c>
      <c r="I6" t="inlineStr">
        <is>
          <t>MISSING</t>
        </is>
      </c>
      <c r="J6" t="inlineStr">
        <is>
          <t>PARTIAL (1/5 — Brent only)</t>
        </is>
      </c>
      <c r="K6" t="inlineStr">
        <is>
          <t>DEGRADED (numpy compute failure blocks audit additions)</t>
        </is>
      </c>
      <c r="L6" t="inlineStr">
        <is>
          <t>2026-04-20/market-brief-2026-04-20.md v2</t>
        </is>
      </c>
      <c r="M6" t="inlineStr">
        <is>
          <t>v2 production run. 35 T1 LIVE, 4 T2 web-search (HY_OAS/DGS2/DFII10/T10YIE). Audit-addition numpy failure — infrastructure fix needed.</t>
        </is>
      </c>
      <c r="N6" t="n">
        <v>35</v>
      </c>
      <c r="O6" t="n">
        <v>4</v>
      </c>
      <c r="P6" t="n">
        <v>0</v>
      </c>
      <c r="Q6" t="n">
        <v>0</v>
      </c>
      <c r="S6" t="n">
        <v>14</v>
      </c>
    </row>
    <row r="7">
      <c r="A7" s="17" t="n">
        <v>46133</v>
      </c>
      <c r="B7" t="n">
        <v>25</v>
      </c>
      <c r="C7" t="n">
        <v>1</v>
      </c>
      <c r="D7" t="n">
        <v>4</v>
      </c>
      <c r="E7" t="inlineStr">
        <is>
          <t>GSCI (V034 commodity gate)</t>
        </is>
      </c>
      <c r="F7" t="n">
        <v>4</v>
      </c>
      <c r="G7" t="inlineStr">
        <is>
          <t>BasisMom WTI/Gold/Silver/Copper T3 Apr-17 within 5d window</t>
        </is>
      </c>
      <c r="H7" t="inlineStr">
        <is>
          <t>LIVE</t>
        </is>
      </c>
      <c r="I7" t="inlineStr">
        <is>
          <t>LIVE</t>
        </is>
      </c>
      <c r="J7" t="inlineStr">
        <is>
          <t>PARTIAL Brent-LIVE others-T3</t>
        </is>
      </c>
      <c r="K7" t="inlineStr">
        <is>
          <t>OPERATIONAL</t>
        </is>
      </c>
      <c r="L7" t="inlineStr">
        <is>
          <t>2026-04-21/market-brief-2026-04-21.md v2</t>
        </is>
      </c>
      <c r="M7" t="inlineStr">
        <is>
          <t>v2 T1 refresh: VIX3M/SPX/NDX/ETH/EWJ/EWY/USDJPY now LIVE. BTC ActiveAddr 464k&gt;400k S flip. WTI $87.55 pre-mkt.</t>
        </is>
      </c>
      <c r="N7" t="n">
        <v>36</v>
      </c>
      <c r="O7" t="n">
        <v>0</v>
      </c>
      <c r="P7" t="n">
        <v>11</v>
      </c>
      <c r="Q7" t="n">
        <v>1</v>
      </c>
      <c r="S7" t="n">
        <v>76.59999999999999</v>
      </c>
    </row>
  </sheetData>
  <autoFilter ref="A1:M1"/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6640625" defaultRowHeight="14.25"/>
  <cols>
    <col width="21.06640625" customWidth="1" style="15" min="1" max="1"/>
    <col width="22" customWidth="1" style="15" min="2" max="2"/>
    <col width="8" customWidth="1" style="15" min="3" max="3"/>
    <col width="35" customWidth="1" style="15" min="4" max="4"/>
    <col width="12" customWidth="1" style="15" min="5" max="6"/>
    <col width="14" customWidth="1" style="15" min="7" max="7"/>
    <col width="12" customWidth="1" style="15" min="8" max="8"/>
    <col width="30" customWidth="1" style="15" min="9" max="9"/>
  </cols>
  <sheetData>
    <row r="1" ht="23.85" customHeight="1" s="15">
      <c r="A1" s="1" t="inlineStr">
        <is>
          <t>Date</t>
        </is>
      </c>
      <c r="B1" s="1" t="inlineStr">
        <is>
          <t>Variable</t>
        </is>
      </c>
      <c r="C1" s="1" t="inlineStr">
        <is>
          <t>Asset</t>
        </is>
      </c>
      <c r="D1" s="1" t="inlineStr">
        <is>
          <t>Direction_of_Move</t>
        </is>
      </c>
      <c r="E1" s="1" t="inlineStr">
        <is>
          <t>Score_Leg_Before</t>
        </is>
      </c>
      <c r="F1" s="1" t="inlineStr">
        <is>
          <t>Score_Leg_After</t>
        </is>
      </c>
      <c r="G1" s="1" t="inlineStr">
        <is>
          <t>Impact_on_Sum</t>
        </is>
      </c>
      <c r="H1" s="1" t="inlineStr">
        <is>
          <t>Decision_Moving</t>
        </is>
      </c>
      <c r="I1" s="1" t="inlineStr">
        <is>
          <t>Source_File</t>
        </is>
      </c>
    </row>
    <row r="2" ht="15" customHeight="1" s="15">
      <c r="A2" s="2" t="n">
        <v>46127</v>
      </c>
      <c r="B2" s="3" t="inlineStr">
        <is>
          <t>Intermediary capital ratio</t>
        </is>
      </c>
      <c r="C2" s="3" t="inlineStr">
        <is>
          <t>EWY</t>
        </is>
      </c>
      <c r="D2" s="3" t="inlineStr">
        <is>
          <t>z=+1.86, R stays 0 → resolved fail-loud caveat</t>
        </is>
      </c>
      <c r="E2" s="3" t="inlineStr">
        <is>
          <t>MISSING</t>
        </is>
      </c>
      <c r="F2" s="3" t="inlineStr">
        <is>
          <t>0</t>
        </is>
      </c>
      <c r="G2" s="3" t="inlineStr">
        <is>
          <t>EWY Sum=+3 now clean</t>
        </is>
      </c>
      <c r="H2" s="3" t="inlineStr">
        <is>
          <t>YES</t>
        </is>
      </c>
      <c r="I2" s="3" t="inlineStr">
        <is>
          <t>weekly-review-2026-04-15.md</t>
        </is>
      </c>
    </row>
    <row r="3" ht="15" customHeight="1" s="15">
      <c r="A3" s="2" t="n">
        <v>46127</v>
      </c>
      <c r="B3" s="3" t="inlineStr">
        <is>
          <t>Residual momentum</t>
        </is>
      </c>
      <c r="C3" s="3" t="inlineStr">
        <is>
          <t>All 12 stocks</t>
        </is>
      </c>
      <c r="D3" s="3" t="inlineStr">
        <is>
          <t>T=0 for all → lifted T-block</t>
        </is>
      </c>
      <c r="E3" s="3" t="inlineStr">
        <is>
          <t>MISSING</t>
        </is>
      </c>
      <c r="F3" s="3" t="inlineStr">
        <is>
          <t>0</t>
        </is>
      </c>
      <c r="G3" s="3" t="inlineStr">
        <is>
          <t>No promotions</t>
        </is>
      </c>
      <c r="H3" s="3" t="inlineStr">
        <is>
          <t>NO</t>
        </is>
      </c>
      <c r="I3" s="3" t="inlineStr">
        <is>
          <t>audit-data-staging-2026-04-15.md</t>
        </is>
      </c>
    </row>
    <row r="4" ht="15" customHeight="1" s="15">
      <c r="A4" s="2" t="n">
        <v>46127</v>
      </c>
      <c r="B4" s="3" t="inlineStr">
        <is>
          <t>Basis-momentum</t>
        </is>
      </c>
      <c r="C4" s="3" t="inlineStr">
        <is>
          <t>WTI</t>
        </is>
      </c>
      <c r="D4" s="3" t="inlineStr">
        <is>
          <t>Divergence cap fired → S capped at 0</t>
        </is>
      </c>
      <c r="E4" s="3" t="inlineStr">
        <is>
          <t>+1</t>
        </is>
      </c>
      <c r="F4" s="3" t="inlineStr">
        <is>
          <t>0</t>
        </is>
      </c>
      <c r="G4" s="3" t="inlineStr">
        <is>
          <t>Sum demoted</t>
        </is>
      </c>
      <c r="H4" s="3" t="inlineStr">
        <is>
          <t>YES</t>
        </is>
      </c>
      <c r="I4" s="3" t="inlineStr">
        <is>
          <t>audit-data-staging-2026-04-15.md</t>
        </is>
      </c>
    </row>
    <row r="5" ht="15" customHeight="1" s="15">
      <c r="A5" s="2" t="n">
        <v>46127</v>
      </c>
      <c r="B5" s="3" t="inlineStr">
        <is>
          <t>Basis-momentum</t>
        </is>
      </c>
      <c r="C5" s="3" t="inlineStr">
        <is>
          <t>Gold</t>
        </is>
      </c>
      <c r="D5" s="3" t="inlineStr">
        <is>
          <t>Divergence cap fired → S capped at 0</t>
        </is>
      </c>
      <c r="E5" s="3" t="inlineStr">
        <is>
          <t>+1</t>
        </is>
      </c>
      <c r="F5" s="3" t="inlineStr">
        <is>
          <t>0</t>
        </is>
      </c>
      <c r="G5" s="3" t="inlineStr">
        <is>
          <t>Sum demoted</t>
        </is>
      </c>
      <c r="H5" s="3" t="inlineStr">
        <is>
          <t>YES</t>
        </is>
      </c>
      <c r="I5" s="3" t="inlineStr">
        <is>
          <t>audit-data-staging-2026-04-15.md</t>
        </is>
      </c>
    </row>
    <row r="6" ht="15" customHeight="1" s="15">
      <c r="A6" s="2" t="n">
        <v>46127</v>
      </c>
      <c r="B6" s="3" t="inlineStr">
        <is>
          <t>Residual momentum</t>
        </is>
      </c>
      <c r="C6" s="3" t="inlineStr">
        <is>
          <t>TSM</t>
        </is>
      </c>
      <c r="D6" s="3" t="inlineStr">
        <is>
          <t>T: 0→+1 (residual +20.6%), promotes Sum +2→+3</t>
        </is>
      </c>
      <c r="E6" s="3" t="inlineStr">
        <is>
          <t>0</t>
        </is>
      </c>
      <c r="F6" s="3" t="inlineStr">
        <is>
          <t>+1</t>
        </is>
      </c>
      <c r="G6" s="3" t="inlineStr">
        <is>
          <t>Promoted to P002</t>
        </is>
      </c>
      <c r="H6" s="3" t="inlineStr">
        <is>
          <t>YES</t>
        </is>
      </c>
      <c r="I6" s="3" t="inlineStr">
        <is>
          <t>trade-rec-2026-04-15.md v2</t>
        </is>
      </c>
    </row>
    <row r="7" ht="15" customHeight="1" s="15">
      <c r="A7" s="2" t="n">
        <v>46127</v>
      </c>
      <c r="B7" s="3" t="inlineStr">
        <is>
          <t>Residual momentum</t>
        </is>
      </c>
      <c r="C7" s="3" t="inlineStr">
        <is>
          <t>AMZN</t>
        </is>
      </c>
      <c r="D7" s="3" t="inlineStr">
        <is>
          <t>T: 0→-1 (residual -9.3%), demotes Sum +2→+1</t>
        </is>
      </c>
      <c r="E7" s="3" t="inlineStr">
        <is>
          <t>0</t>
        </is>
      </c>
      <c r="F7" s="3" t="inlineStr">
        <is>
          <t>-1</t>
        </is>
      </c>
      <c r="G7" s="3" t="inlineStr">
        <is>
          <t>Dropped from near-miss</t>
        </is>
      </c>
      <c r="H7" s="3" t="inlineStr">
        <is>
          <t>YES</t>
        </is>
      </c>
      <c r="I7" s="3" t="inlineStr">
        <is>
          <t>trade-rec-2026-04-15.md v2</t>
        </is>
      </c>
    </row>
    <row r="8" ht="15" customHeight="1" s="15">
      <c r="A8" s="2" t="n">
        <v>46127</v>
      </c>
      <c r="B8" s="3" t="inlineStr">
        <is>
          <t>Residual momentum</t>
        </is>
      </c>
      <c r="C8" s="3" t="inlineStr">
        <is>
          <t>META</t>
        </is>
      </c>
      <c r="D8" s="3" t="inlineStr">
        <is>
          <t>T: 0→-1 (residual -12.1%), demotes Sum +2→+1</t>
        </is>
      </c>
      <c r="E8" s="3" t="inlineStr">
        <is>
          <t>0</t>
        </is>
      </c>
      <c r="F8" s="3" t="inlineStr">
        <is>
          <t>-1</t>
        </is>
      </c>
      <c r="G8" s="3" t="inlineStr">
        <is>
          <t>Dropped from near-miss</t>
        </is>
      </c>
      <c r="H8" s="3" t="inlineStr">
        <is>
          <t>YES</t>
        </is>
      </c>
      <c r="I8" s="3" t="inlineStr">
        <is>
          <t>trade-rec-2026-04-15.md v2</t>
        </is>
      </c>
    </row>
    <row r="9" ht="15" customHeight="1" s="15">
      <c r="A9" s="2" t="n">
        <v>46127</v>
      </c>
      <c r="B9" s="3" t="inlineStr">
        <is>
          <t>Residual momentum</t>
        </is>
      </c>
      <c r="C9" s="3" t="inlineStr">
        <is>
          <t>TSM</t>
        </is>
      </c>
      <c r="D9" s="3" t="inlineStr">
        <is>
          <t>T: +1→-1 (residual flipped +20.6%→-19.78%)</t>
        </is>
      </c>
      <c r="E9" s="3" t="inlineStr">
        <is>
          <t>+1</t>
        </is>
      </c>
      <c r="F9" s="3" t="inlineStr">
        <is>
          <t>-1</t>
        </is>
      </c>
      <c r="G9" s="3" t="inlineStr">
        <is>
          <t>DE-PROMOTED Sum +3→+1</t>
        </is>
      </c>
      <c r="H9" s="3" t="inlineStr">
        <is>
          <t>YES</t>
        </is>
      </c>
      <c r="I9" s="3" t="inlineStr">
        <is>
          <t>trade-rec-2026-04-15.md v3</t>
        </is>
      </c>
    </row>
    <row r="10" ht="15" customHeight="1" s="15">
      <c r="A10" s="2" t="n">
        <v>46127</v>
      </c>
      <c r="B10" s="3" t="inlineStr">
        <is>
          <t>Residual momentum</t>
        </is>
      </c>
      <c r="C10" s="3" t="inlineStr">
        <is>
          <t>GOOGL</t>
        </is>
      </c>
      <c r="D10" s="3" t="inlineStr">
        <is>
          <t>T: +1→0 (residual +29.9%→-0.20%)</t>
        </is>
      </c>
      <c r="E10" s="3" t="inlineStr">
        <is>
          <t>+1</t>
        </is>
      </c>
      <c r="F10" s="3" t="inlineStr">
        <is>
          <t>0</t>
        </is>
      </c>
      <c r="G10" s="3" t="inlineStr">
        <is>
          <t>Demoted Sum +2→+1</t>
        </is>
      </c>
      <c r="H10" s="3" t="inlineStr">
        <is>
          <t>YES</t>
        </is>
      </c>
      <c r="I10" s="3" t="inlineStr">
        <is>
          <t>trade-rec-2026-04-15.md v3</t>
        </is>
      </c>
    </row>
    <row r="11" ht="15" customHeight="1" s="15">
      <c r="A11" s="2" t="n">
        <v>46127</v>
      </c>
      <c r="B11" s="3" t="inlineStr">
        <is>
          <t>Residual momentum</t>
        </is>
      </c>
      <c r="C11" s="3" t="inlineStr">
        <is>
          <t>MU</t>
        </is>
      </c>
      <c r="D11" s="3" t="inlineStr">
        <is>
          <t>T: +1→0 (residual +88.5%→+1.44%)</t>
        </is>
      </c>
      <c r="E11" s="3" t="inlineStr">
        <is>
          <t>+1</t>
        </is>
      </c>
      <c r="F11" s="3" t="inlineStr">
        <is>
          <t>0</t>
        </is>
      </c>
      <c r="G11" s="3" t="inlineStr">
        <is>
          <t>Demoted Sum +2→+1</t>
        </is>
      </c>
      <c r="H11" s="3" t="inlineStr">
        <is>
          <t>YES</t>
        </is>
      </c>
      <c r="I11" s="3" t="inlineStr">
        <is>
          <t>trade-rec-2026-04-15.md v3</t>
        </is>
      </c>
    </row>
    <row r="12" ht="15" customHeight="1" s="15">
      <c r="A12" s="2" t="n">
        <v>46127</v>
      </c>
      <c r="B12" s="3" t="inlineStr">
        <is>
          <t>Basis-momentum</t>
        </is>
      </c>
      <c r="C12" s="3" t="inlineStr">
        <is>
          <t>WTI</t>
        </is>
      </c>
      <c r="D12" s="3" t="inlineStr">
        <is>
          <t>Divergence cap removed → S restored to +1</t>
        </is>
      </c>
      <c r="E12" s="3" t="inlineStr">
        <is>
          <t>0</t>
        </is>
      </c>
      <c r="F12" s="3" t="inlineStr">
        <is>
          <t>+1</t>
        </is>
      </c>
      <c r="G12" s="3" t="inlineStr">
        <is>
          <t>Sum restored +0→+2</t>
        </is>
      </c>
      <c r="H12" s="3" t="inlineStr">
        <is>
          <t>YES</t>
        </is>
      </c>
      <c r="I12" s="3" t="inlineStr">
        <is>
          <t>trade-rec-2026-04-15.md v3</t>
        </is>
      </c>
    </row>
    <row r="13" ht="15" customHeight="1" s="15">
      <c r="A13" s="2" t="n">
        <v>46127</v>
      </c>
      <c r="B13" s="3" t="inlineStr">
        <is>
          <t>Basis-momentum</t>
        </is>
      </c>
      <c r="C13" s="3" t="inlineStr">
        <is>
          <t>Gold</t>
        </is>
      </c>
      <c r="D13" s="3" t="inlineStr">
        <is>
          <t>Divergence cap removed → S restored to +1</t>
        </is>
      </c>
      <c r="E13" s="3" t="inlineStr">
        <is>
          <t>0</t>
        </is>
      </c>
      <c r="F13" s="3" t="inlineStr">
        <is>
          <t>+1</t>
        </is>
      </c>
      <c r="G13" s="3" t="inlineStr">
        <is>
          <t>Sum restored +1→+2</t>
        </is>
      </c>
      <c r="H13" s="3" t="inlineStr">
        <is>
          <t>YES</t>
        </is>
      </c>
      <c r="I13" s="3" t="inlineStr">
        <is>
          <t>trade-rec-2026-04-15.md v3</t>
        </is>
      </c>
    </row>
    <row r="14">
      <c r="A14" s="12" t="n">
        <v>46128</v>
      </c>
      <c r="B14" t="inlineStr">
        <is>
          <t>Residual momentum (FF5)</t>
        </is>
      </c>
      <c r="C14" t="inlineStr">
        <is>
          <t>GOOGL</t>
        </is>
      </c>
      <c r="D14" t="inlineStr">
        <is>
          <t>T unblocked: residual +30.52% → T=+1</t>
        </is>
      </c>
      <c r="E14" t="inlineStr">
        <is>
          <t>INC (MISSING)</t>
        </is>
      </c>
      <c r="F14" t="inlineStr">
        <is>
          <t>T=+1</t>
        </is>
      </c>
      <c r="G14" t="inlineStr">
        <is>
          <t>Sum INC → +3 (new |Sum|≥3 signal)</t>
        </is>
      </c>
      <c r="H14" t="inlineStr">
        <is>
          <t>YES</t>
        </is>
      </c>
      <c r="I14" t="inlineStr">
        <is>
          <t>trade-rec-2026-04-16.md v3</t>
        </is>
      </c>
    </row>
    <row r="15">
      <c r="A15" s="12" t="n">
        <v>46128</v>
      </c>
      <c r="B15" t="inlineStr">
        <is>
          <t>Residual momentum (FF5)</t>
        </is>
      </c>
      <c r="C15" t="inlineStr">
        <is>
          <t>TSM</t>
        </is>
      </c>
      <c r="D15" t="inlineStr">
        <is>
          <t>T flipped: residual -19.78%→+21.59% → T=-1→+1</t>
        </is>
      </c>
      <c r="E15" t="inlineStr">
        <is>
          <t>T=-1</t>
        </is>
      </c>
      <c r="F15" t="inlineStr">
        <is>
          <t>T=+1</t>
        </is>
      </c>
      <c r="G15" t="inlineStr">
        <is>
          <t>Sum 0 → +2 (not promotable, C=0)</t>
        </is>
      </c>
      <c r="H15" t="inlineStr">
        <is>
          <t>YES</t>
        </is>
      </c>
      <c r="I15" t="inlineStr">
        <is>
          <t>trade-rec-2026-04-16.md v3</t>
        </is>
      </c>
    </row>
    <row r="16">
      <c r="A16" s="12" t="n">
        <v>46128</v>
      </c>
      <c r="B16" t="inlineStr">
        <is>
          <t>Basis-momentum (4w/12w)</t>
        </is>
      </c>
      <c r="C16" t="inlineStr">
        <is>
          <t>WTI</t>
        </is>
      </c>
      <c r="D16" t="inlineStr">
        <is>
          <t>Divergence cap: static backwardation but 4w=-3.71 (flattening) → S capped at 0</t>
        </is>
      </c>
      <c r="E16" t="inlineStr">
        <is>
          <t>S=+1</t>
        </is>
      </c>
      <c r="F16" t="inlineStr">
        <is>
          <t>S=0</t>
        </is>
      </c>
      <c r="G16" t="inlineStr">
        <is>
          <t>Sum +1 → 0</t>
        </is>
      </c>
      <c r="H16" t="inlineStr">
        <is>
          <t>YES</t>
        </is>
      </c>
      <c r="I16" t="inlineStr">
        <is>
          <t>trade-rec-2026-04-16.md v3</t>
        </is>
      </c>
    </row>
    <row r="17">
      <c r="A17" s="12" t="n">
        <v>46128</v>
      </c>
      <c r="B17" t="inlineStr">
        <is>
          <t>Intermediary capital ratio (z-score)</t>
        </is>
      </c>
      <c r="C17" t="inlineStr">
        <is>
          <t>ALL (cross-asset R)</t>
        </is>
      </c>
      <c r="D17" t="inlineStr">
        <is>
          <t>z=+0.18 (neutral, well above -1σ threshold)</t>
        </is>
      </c>
      <c r="E17" t="inlineStr">
        <is>
          <t>R=+0</t>
        </is>
      </c>
      <c r="F17" t="inlineStr">
        <is>
          <t>R=+0</t>
        </is>
      </c>
      <c r="G17" t="inlineStr">
        <is>
          <t>No change</t>
        </is>
      </c>
      <c r="H17" t="inlineStr">
        <is>
          <t>NO</t>
        </is>
      </c>
      <c r="I17" t="inlineStr">
        <is>
          <t>trade-rec-2026-04-16.md v3</t>
        </is>
      </c>
    </row>
    <row r="18">
      <c r="A18" s="13" t="n">
        <v>46129</v>
      </c>
      <c r="B18" t="inlineStr">
        <is>
          <t>Residual momentum (FF5)</t>
        </is>
      </c>
      <c r="C18" t="inlineStr">
        <is>
          <t>GOOGL</t>
        </is>
      </c>
      <c r="D18" t="inlineStr">
        <is>
          <t>T downgraded: residual -0.80% (was +30.52% v2 Apr-16 post-compute) → T=+1 → T=0</t>
        </is>
      </c>
      <c r="E18" t="inlineStr">
        <is>
          <t>T=+1</t>
        </is>
      </c>
      <c r="F18" t="inlineStr">
        <is>
          <t>T=0</t>
        </is>
      </c>
      <c r="G18" t="inlineStr">
        <is>
          <t>Sum +3 ref → +2 actual (BLOCKED promotion)</t>
        </is>
      </c>
      <c r="H18" t="inlineStr">
        <is>
          <t>YES</t>
        </is>
      </c>
      <c r="I18" t="inlineStr">
        <is>
          <t>trade-rec-2026-04-17.md v1</t>
        </is>
      </c>
    </row>
    <row r="19">
      <c r="A19" s="13" t="n">
        <v>46129</v>
      </c>
      <c r="B19" t="inlineStr">
        <is>
          <t>Residual momentum (FF5)</t>
        </is>
      </c>
      <c r="C19" t="inlineStr">
        <is>
          <t>INTC</t>
        </is>
      </c>
      <c r="D19" t="inlineStr">
        <is>
          <t>T CONFIRMED: residual +13.89% → T=+1 (no conflict with raw +93.43%)</t>
        </is>
      </c>
      <c r="E19" t="inlineStr">
        <is>
          <t>T=+1 (ref)</t>
        </is>
      </c>
      <c r="F19" t="inlineStr">
        <is>
          <t>T=+1 (confirmed)</t>
        </is>
      </c>
      <c r="G19" t="inlineStr">
        <is>
          <t>Sum +3 confirmed (open position thesis locked)</t>
        </is>
      </c>
      <c r="H19" t="inlineStr">
        <is>
          <t>YES</t>
        </is>
      </c>
      <c r="I19" t="inlineStr">
        <is>
          <t>trade-rec-2026-04-17.md v1</t>
        </is>
      </c>
    </row>
    <row r="20">
      <c r="A20" s="13" t="n">
        <v>46129</v>
      </c>
      <c r="B20" t="inlineStr">
        <is>
          <t>Residual momentum (FF5)</t>
        </is>
      </c>
      <c r="C20" t="inlineStr">
        <is>
          <t>TSLA</t>
        </is>
      </c>
      <c r="D20" t="inlineStr">
        <is>
          <t>T-conflict resolved: residual -9.12% (trust residual) vs raw +36.03%</t>
        </is>
      </c>
      <c r="E20" t="inlineStr">
        <is>
          <t>T= blank/ref</t>
        </is>
      </c>
      <c r="F20" t="inlineStr">
        <is>
          <t>T=-1</t>
        </is>
      </c>
      <c r="G20" t="inlineStr">
        <is>
          <t>Sum +1 → 0 (T-conflict per methodology)</t>
        </is>
      </c>
      <c r="H20" t="inlineStr">
        <is>
          <t>YES</t>
        </is>
      </c>
      <c r="I20" t="inlineStr">
        <is>
          <t>trade-rec-2026-04-17.md v1</t>
        </is>
      </c>
    </row>
    <row r="21">
      <c r="A21" s="13" t="n">
        <v>46129</v>
      </c>
      <c r="B21" t="inlineStr">
        <is>
          <t>Residual momentum (FF5)</t>
        </is>
      </c>
      <c r="C21" t="inlineStr">
        <is>
          <t>PLTR</t>
        </is>
      </c>
      <c r="D21" t="inlineStr">
        <is>
          <t>T-conflict resolved: residual -35.62% (trust residual) vs raw +28.37%</t>
        </is>
      </c>
      <c r="E21" t="inlineStr">
        <is>
          <t>T= blank/ref</t>
        </is>
      </c>
      <c r="F21" t="inlineStr">
        <is>
          <t>T=-1</t>
        </is>
      </c>
      <c r="G21" t="inlineStr">
        <is>
          <t>Sum 0 → -1 (T-conflict per methodology)</t>
        </is>
      </c>
      <c r="H21" t="inlineStr">
        <is>
          <t>YES</t>
        </is>
      </c>
      <c r="I21" t="inlineStr">
        <is>
          <t>trade-rec-2026-04-17.md v1</t>
        </is>
      </c>
    </row>
    <row r="22">
      <c r="A22" s="13" t="n">
        <v>46129</v>
      </c>
      <c r="B22" t="inlineStr">
        <is>
          <t>Residual momentum (FF5)</t>
        </is>
      </c>
      <c r="C22" t="inlineStr">
        <is>
          <t>NVDA</t>
        </is>
      </c>
      <c r="D22" t="inlineStr">
        <is>
          <t>T downgraded: residual -1.00% → T=0</t>
        </is>
      </c>
      <c r="E22" t="inlineStr">
        <is>
          <t>T=+1</t>
        </is>
      </c>
      <c r="F22" t="inlineStr">
        <is>
          <t>T=0</t>
        </is>
      </c>
      <c r="G22" t="inlineStr">
        <is>
          <t>Sum +2 C-block → +1 T-block (changed blocking leg)</t>
        </is>
      </c>
      <c r="H22" t="inlineStr">
        <is>
          <t>YES</t>
        </is>
      </c>
      <c r="I22" t="inlineStr">
        <is>
          <t>trade-rec-2026-04-17.md v1</t>
        </is>
      </c>
    </row>
    <row r="23">
      <c r="A23" s="13" t="n">
        <v>46129</v>
      </c>
      <c r="B23" t="inlineStr">
        <is>
          <t>Intermediary capital ratio (z-score)</t>
        </is>
      </c>
      <c r="C23" t="inlineStr">
        <is>
          <t>ALL (cross-asset R)</t>
        </is>
      </c>
      <c r="D23" t="inlineStr">
        <is>
          <t>z=+0.18 (ratio 0.1261, 3y mean 0.1258, std 0.0018); no stress</t>
        </is>
      </c>
      <c r="E23" t="inlineStr">
        <is>
          <t>R=+0</t>
        </is>
      </c>
      <c r="F23" t="inlineStr">
        <is>
          <t>R=+0</t>
        </is>
      </c>
      <c r="G23" t="inlineStr">
        <is>
          <t>No change (z above -1σ threshold)</t>
        </is>
      </c>
      <c r="H23" t="inlineStr">
        <is>
          <t>NO</t>
        </is>
      </c>
      <c r="I23" t="inlineStr">
        <is>
          <t>trade-rec-2026-04-17.md v1</t>
        </is>
      </c>
    </row>
    <row r="24">
      <c r="A24" s="13" t="n">
        <v>46129</v>
      </c>
      <c r="B24" t="inlineStr">
        <is>
          <t>Basis-momentum (4w/12w)</t>
        </is>
      </c>
      <c r="C24" t="inlineStr">
        <is>
          <t>ALL 5 commodities</t>
        </is>
      </c>
      <c r="D24" t="inlineStr">
        <is>
          <t>All 5 computed; Brent/WTI/Copper aligned-steepening (no cap); Gold/Silver static contango (cap N/A)</t>
        </is>
      </c>
      <c r="E24" t="inlineStr">
        <is>
          <t>variable</t>
        </is>
      </c>
      <c r="F24" t="inlineStr">
        <is>
          <t>variable</t>
        </is>
      </c>
      <c r="G24" t="inlineStr">
        <is>
          <t>No divergence cap fires today</t>
        </is>
      </c>
      <c r="H24" t="inlineStr">
        <is>
          <t>NO</t>
        </is>
      </c>
      <c r="I24" t="inlineStr">
        <is>
          <t>trade-rec-2026-04-17.md v1</t>
        </is>
      </c>
    </row>
    <row r="25">
      <c r="A25" s="13" t="n">
        <v>46132</v>
      </c>
      <c r="B25" t="inlineStr">
        <is>
          <t>V026 Residual momentum (12m FF5)</t>
        </is>
      </c>
      <c r="C25" t="inlineStr">
        <is>
          <t>11 single stocks (NVDA/AAPL/AMZN/META/TSM/PLTR/INTC/TSLA/GOOGL/MU/AVGO)</t>
        </is>
      </c>
      <c r="D25" t="inlineStr">
        <is>
          <t>MISSING (numpy not available in staging env)</t>
        </is>
      </c>
      <c r="E25" t="inlineStr">
        <is>
          <t>variable</t>
        </is>
      </c>
      <c r="F25" t="inlineStr">
        <is>
          <t>BLANK</t>
        </is>
      </c>
      <c r="G25" t="inlineStr">
        <is>
          <t>Blocks T-leg for all 11 single-stock signals. Fail-loud: no silent-infer.</t>
        </is>
      </c>
      <c r="H25" t="inlineStr">
        <is>
          <t>YES — all single-stock promotions blocked</t>
        </is>
      </c>
      <c r="I25" t="inlineStr">
        <is>
          <t>2026-04-20/audit-data-staging-2026-04-20.md; 2026-04-20/trade-rec-2026-04-20.md v3</t>
        </is>
      </c>
    </row>
    <row r="26">
      <c r="A26" s="13" t="n">
        <v>46132</v>
      </c>
      <c r="B26" t="inlineStr">
        <is>
          <t>V027 Intermediary Capital z-score</t>
        </is>
      </c>
      <c r="C26" t="inlineStr">
        <is>
          <t>Cross-asset (R-overlay)</t>
        </is>
      </c>
      <c r="D26" t="inlineStr">
        <is>
          <t>MISSING (numpy failure)</t>
        </is>
      </c>
      <c r="E26" t="inlineStr">
        <is>
          <t>variable</t>
        </is>
      </c>
      <c r="F26" t="inlineStr">
        <is>
          <t>variable</t>
        </is>
      </c>
      <c r="G26" t="inlineStr">
        <is>
          <t>R-leg forced to conditional/proxy mode. Proxies used: HY OAS 2.85% / NFCI -0.47 / VIX 19.36 — all non-stressed → R=+1 retained.</t>
        </is>
      </c>
      <c r="H26" t="inlineStr">
        <is>
          <t>NO — proxies concur; SPY R=+1 retained with CONDITIONAL footnote</t>
        </is>
      </c>
      <c r="I26" t="inlineStr">
        <is>
          <t>2026-04-20/audit-data-staging-2026-04-20.md; 2026-04-20/trade-rec-2026-04-20.md v3</t>
        </is>
      </c>
    </row>
    <row r="27">
      <c r="A27" s="13" t="n">
        <v>46132</v>
      </c>
      <c r="B27" t="inlineStr">
        <is>
          <t>V028 Basis-momentum (4w/12w)</t>
        </is>
      </c>
      <c r="C27" t="inlineStr">
        <is>
          <t>Brent (1/5 computed)</t>
        </is>
      </c>
      <c r="D27" t="inlineStr">
        <is>
          <t>Brent +13.95 spread; 4w +0.95 / 12w +2.95 (steepening, aligned — no divergence cap)</t>
        </is>
      </c>
      <c r="E27" t="inlineStr">
        <is>
          <t>variable</t>
        </is>
      </c>
      <c r="F27" t="inlineStr">
        <is>
          <t>variable</t>
        </is>
      </c>
      <c r="G27" t="inlineStr">
        <is>
          <t>No cap fires for Brent. WTI/Gold/Silver/Copper MISSING (numpy).</t>
        </is>
      </c>
      <c r="H27" t="inlineStr">
        <is>
          <t>NO</t>
        </is>
      </c>
      <c r="I27" t="inlineStr">
        <is>
          <t>2026-04-20/audit-data-staging-2026-04-20.md; 2026-04-20/trade-rec-2026-04-20.md v3</t>
        </is>
      </c>
    </row>
    <row r="28">
      <c r="A28" s="16" t="n">
        <v>46132.66666666666</v>
      </c>
      <c r="B28" t="inlineStr">
        <is>
          <t>V029 BAB (Betting-Against-Beta)</t>
        </is>
      </c>
      <c r="C28" t="inlineStr">
        <is>
          <t>Cross-asset (low-beta sleeve)</t>
        </is>
      </c>
      <c r="D28" t="inlineStr">
        <is>
          <t>RETRIEVED (SHADOW) — ANTI-BAB: USMV+2.91% − SPLV+3.35% = -0.44%</t>
        </is>
      </c>
      <c r="E28" t="inlineStr">
        <is>
          <t>N/A (SHADOW)</t>
        </is>
      </c>
      <c r="F28" t="inlineStr">
        <is>
          <t>N/A (SHADOW)</t>
        </is>
      </c>
      <c r="G28" t="inlineStr">
        <is>
          <t>SHADOW — not consumed by brief/rec; Type=SHADOW</t>
        </is>
      </c>
      <c r="H28" t="inlineStr">
        <is>
          <t>NO (SHADOW)</t>
        </is>
      </c>
      <c r="I28" t="inlineStr">
        <is>
          <t>2026-04-21/meta-additions-staging-2026-04-21.md</t>
        </is>
      </c>
    </row>
    <row r="29">
      <c r="A29" s="16" t="n">
        <v>46132.66666666666</v>
      </c>
      <c r="B29" t="inlineStr">
        <is>
          <t>V030 DealerGamma</t>
        </is>
      </c>
      <c r="C29" t="inlineStr">
        <is>
          <t>Cross-asset (gamma-overlay)</t>
        </is>
      </c>
      <c r="D29" t="inlineStr">
        <is>
          <t>MISSING (SHADOW) — Subscription pending; SqueezeMetrics/SpotGamma not confirmed</t>
        </is>
      </c>
      <c r="E29" t="inlineStr">
        <is>
          <t>N/A (SHADOW)</t>
        </is>
      </c>
      <c r="F29" t="inlineStr">
        <is>
          <t>N/A (SHADOW)</t>
        </is>
      </c>
      <c r="G29" t="inlineStr">
        <is>
          <t>SHADOW — not consumed by brief/rec; Type=SHADOW</t>
        </is>
      </c>
      <c r="H29" t="inlineStr">
        <is>
          <t>NO (SHADOW)</t>
        </is>
      </c>
      <c r="I29" t="inlineStr">
        <is>
          <t>2026-04-21/meta-additions-staging-2026-04-21.md</t>
        </is>
      </c>
    </row>
    <row r="30">
      <c r="A30" s="16" t="n">
        <v>46132.66666666666</v>
      </c>
      <c r="B30" t="inlineStr">
        <is>
          <t>V031 GP/A (Gross Profitability/Assets)</t>
        </is>
      </c>
      <c r="C30" t="inlineStr">
        <is>
          <t>Equity (fundamental quality)</t>
        </is>
      </c>
      <c r="D30" t="inlineStr">
        <is>
          <t>MISSING (SHADOW) — Phase 2 stub; Ken French GP fetcher not implemented</t>
        </is>
      </c>
      <c r="E30" t="inlineStr">
        <is>
          <t>N/A (SHADOW)</t>
        </is>
      </c>
      <c r="F30" t="inlineStr">
        <is>
          <t>N/A (SHADOW)</t>
        </is>
      </c>
      <c r="G30" t="inlineStr">
        <is>
          <t>SHADOW — not consumed by brief/rec; Type=SHADOW</t>
        </is>
      </c>
      <c r="H30" t="inlineStr">
        <is>
          <t>NO (SHADOW)</t>
        </is>
      </c>
      <c r="I30" t="inlineStr">
        <is>
          <t>2026-04-21/meta-additions-staging-2026-04-21.md</t>
        </is>
      </c>
    </row>
    <row r="31">
      <c r="A31" s="16" t="n">
        <v>46132.66666666666</v>
      </c>
      <c r="B31" t="inlineStr">
        <is>
          <t>V032 CEI (Composite Equity Issuance)</t>
        </is>
      </c>
      <c r="C31" t="inlineStr">
        <is>
          <t>Equity (issuance signal)</t>
        </is>
      </c>
      <c r="D31" t="inlineStr">
        <is>
          <t>MISSING (SHADOW) — Phase 2 stub; compute_cei.py not implemented</t>
        </is>
      </c>
      <c r="E31" t="inlineStr">
        <is>
          <t>N/A (SHADOW)</t>
        </is>
      </c>
      <c r="F31" t="inlineStr">
        <is>
          <t>N/A (SHADOW)</t>
        </is>
      </c>
      <c r="G31" t="inlineStr">
        <is>
          <t>SHADOW — not consumed by brief/rec; Type=SHADOW</t>
        </is>
      </c>
      <c r="H31" t="inlineStr">
        <is>
          <t>NO (SHADOW)</t>
        </is>
      </c>
      <c r="I31" t="inlineStr">
        <is>
          <t>2026-04-21/meta-additions-staging-2026-04-21.md</t>
        </is>
      </c>
    </row>
    <row r="32">
      <c r="A32" s="16" t="n">
        <v>46132.66666666666</v>
      </c>
      <c r="B32" t="inlineStr">
        <is>
          <t>V033 Faber TAA SPY (equity sleeve)</t>
        </is>
      </c>
      <c r="C32" t="inlineStr">
        <is>
          <t>SPY</t>
        </is>
      </c>
      <c r="D32" t="inlineStr">
        <is>
          <t>RETRIEVED (SHADOW) — ON (close 708.72 vs 10m-SMA 669.42, +5.87%)</t>
        </is>
      </c>
      <c r="E32" t="inlineStr">
        <is>
          <t>N/A (SHADOW)</t>
        </is>
      </c>
      <c r="F32" t="inlineStr">
        <is>
          <t>N/A (SHADOW)</t>
        </is>
      </c>
      <c r="G32" t="inlineStr">
        <is>
          <t>SHADOW — not consumed by brief/rec; Type=SHADOW</t>
        </is>
      </c>
      <c r="H32" t="inlineStr">
        <is>
          <t>NO (SHADOW)</t>
        </is>
      </c>
      <c r="I32" t="inlineStr">
        <is>
          <t>2026-04-21/meta-additions-staging-2026-04-21.md</t>
        </is>
      </c>
    </row>
    <row r="33">
      <c r="A33" s="16" t="n">
        <v>46132.66666666666</v>
      </c>
      <c r="B33" t="inlineStr">
        <is>
          <t>V034 Faber TAA GSG (commodity sleeve)</t>
        </is>
      </c>
      <c r="C33" t="inlineStr">
        <is>
          <t>GSG</t>
        </is>
      </c>
      <c r="D33" t="inlineStr">
        <is>
          <t>RETRIEVED (SHADOW) — ON (close 30.94 vs 10m-SMA 25.27, +22.43%)</t>
        </is>
      </c>
      <c r="E33" t="inlineStr">
        <is>
          <t>N/A (SHADOW)</t>
        </is>
      </c>
      <c r="F33" t="inlineStr">
        <is>
          <t>N/A (SHADOW)</t>
        </is>
      </c>
      <c r="G33" t="inlineStr">
        <is>
          <t>SHADOW — not consumed by brief/rec; Type=SHADOW</t>
        </is>
      </c>
      <c r="H33" t="inlineStr">
        <is>
          <t>NO (SHADOW)</t>
        </is>
      </c>
      <c r="I33" t="inlineStr">
        <is>
          <t>2026-04-21/meta-additions-staging-2026-04-21.md</t>
        </is>
      </c>
    </row>
    <row r="34">
      <c r="A34" s="16" t="n">
        <v>46132.66666666666</v>
      </c>
      <c r="B34" t="inlineStr">
        <is>
          <t>V035 Faber TAA BTC (crypto sleeve)</t>
        </is>
      </c>
      <c r="C34" t="inlineStr">
        <is>
          <t>BTC-USD</t>
        </is>
      </c>
      <c r="D34" t="inlineStr">
        <is>
          <t>RETRIEVED (SHADOW) — OFF (close 73856.35 vs 10m-SMA 91321.69, -19.13%)</t>
        </is>
      </c>
      <c r="E34" t="inlineStr">
        <is>
          <t>N/A (SHADOW)</t>
        </is>
      </c>
      <c r="F34" t="inlineStr">
        <is>
          <t>N/A (SHADOW)</t>
        </is>
      </c>
      <c r="G34" t="inlineStr">
        <is>
          <t>SHADOW — not consumed by brief/rec; Type=SHADOW</t>
        </is>
      </c>
      <c r="H34" t="inlineStr">
        <is>
          <t>NO (SHADOW)</t>
        </is>
      </c>
      <c r="I34" t="inlineStr">
        <is>
          <t>2026-04-21/meta-additions-staging-2026-04-21.md</t>
        </is>
      </c>
    </row>
    <row r="35">
      <c r="A35" s="17" t="n">
        <v>46133</v>
      </c>
      <c r="B35" t="inlineStr">
        <is>
          <t>V026 Residual Momentum</t>
        </is>
      </c>
      <c r="C35" t="inlineStr">
        <is>
          <t>INTC</t>
        </is>
      </c>
      <c r="D35" t="inlineStr">
        <is>
          <t>T: MISSING-&gt;+1 (resid+13.89%)</t>
        </is>
      </c>
      <c r="E35" t="inlineStr">
        <is>
          <t>T=0 blocked</t>
        </is>
      </c>
      <c r="F35" t="inlineStr">
        <is>
          <t>T=+1</t>
        </is>
      </c>
      <c r="G35" t="inlineStr">
        <is>
          <t>+1 Sum -&gt; new Sum+4 PROMOTED P013</t>
        </is>
      </c>
      <c r="H35" t="inlineStr">
        <is>
          <t>YES</t>
        </is>
      </c>
      <c r="I35" t="inlineStr">
        <is>
          <t>2026-04-21/trade-rec-2026-04-21.md</t>
        </is>
      </c>
    </row>
    <row r="36">
      <c r="A36" s="17" t="n">
        <v>46133</v>
      </c>
      <c r="B36" t="inlineStr">
        <is>
          <t>V026 Residual Momentum</t>
        </is>
      </c>
      <c r="C36" t="inlineStr">
        <is>
          <t>AAPL</t>
        </is>
      </c>
      <c r="D36" t="inlineStr">
        <is>
          <t>T: MISSING-&gt;+1 (resid+4.68%)</t>
        </is>
      </c>
      <c r="E36" t="inlineStr">
        <is>
          <t>T=0 blocked</t>
        </is>
      </c>
      <c r="F36" t="inlineStr">
        <is>
          <t>T=+1</t>
        </is>
      </c>
      <c r="G36" t="inlineStr">
        <is>
          <t>+1 Sum -&gt; new Sum+3 PROMOTED P014</t>
        </is>
      </c>
      <c r="H36" t="inlineStr">
        <is>
          <t>YES</t>
        </is>
      </c>
      <c r="I36" t="inlineStr">
        <is>
          <t>2026-04-21/trade-rec-2026-04-21.md</t>
        </is>
      </c>
    </row>
    <row r="37">
      <c r="A37" s="17" t="n">
        <v>46133</v>
      </c>
      <c r="B37" t="inlineStr">
        <is>
          <t>V026 Residual Momentum</t>
        </is>
      </c>
      <c r="C37" t="inlineStr">
        <is>
          <t>PLTR</t>
        </is>
      </c>
      <c r="D37" t="inlineStr">
        <is>
          <t>T: MISSING-&gt;-1 (resid-35.62%)</t>
        </is>
      </c>
      <c r="E37" t="inlineStr">
        <is>
          <t>T=0 blocked</t>
        </is>
      </c>
      <c r="F37" t="inlineStr">
        <is>
          <t>T=-1</t>
        </is>
      </c>
      <c r="G37" t="inlineStr">
        <is>
          <t>-1 Sum -&gt; downgraded to +2 below threshold</t>
        </is>
      </c>
      <c r="H37" t="inlineStr">
        <is>
          <t>YES</t>
        </is>
      </c>
      <c r="I37" t="inlineStr">
        <is>
          <t>2026-04-21/trade-rec-2026-04-21.md</t>
        </is>
      </c>
    </row>
    <row r="38">
      <c r="A38" s="17" t="n">
        <v>46133</v>
      </c>
      <c r="B38" t="inlineStr">
        <is>
          <t>V026 Residual Momentum</t>
        </is>
      </c>
      <c r="C38" t="inlineStr">
        <is>
          <t>TSLA</t>
        </is>
      </c>
      <c r="D38" t="inlineStr">
        <is>
          <t>T: MISSING-&gt;-1 (resid-9.12%)</t>
        </is>
      </c>
      <c r="E38" t="inlineStr">
        <is>
          <t>T=0 blocked</t>
        </is>
      </c>
      <c r="F38" t="inlineStr">
        <is>
          <t>T=-1</t>
        </is>
      </c>
      <c r="G38" t="inlineStr">
        <is>
          <t>-1 Sum -&gt; confirmed no-trade</t>
        </is>
      </c>
      <c r="H38" t="inlineStr">
        <is>
          <t>YES</t>
        </is>
      </c>
      <c r="I38" t="inlineStr">
        <is>
          <t>2026-04-21/trade-rec-2026-04-21.md</t>
        </is>
      </c>
    </row>
    <row r="39">
      <c r="A39" s="17" t="n">
        <v>46133</v>
      </c>
      <c r="B39" t="inlineStr">
        <is>
          <t>V026 Residual Momentum</t>
        </is>
      </c>
      <c r="C39" t="inlineStr">
        <is>
          <t>GOOGL</t>
        </is>
      </c>
      <c r="D39" t="inlineStr">
        <is>
          <t>T: MISSING-&gt;0 (resid-0.80%)</t>
        </is>
      </c>
      <c r="E39" t="inlineStr">
        <is>
          <t>T=0 blocked</t>
        </is>
      </c>
      <c r="F39" t="inlineStr">
        <is>
          <t>T=0 resolved</t>
        </is>
      </c>
      <c r="G39" t="inlineStr">
        <is>
          <t>Sum+3 confirmed via C+1 (no T change)</t>
        </is>
      </c>
      <c r="H39" t="inlineStr">
        <is>
          <t>YES</t>
        </is>
      </c>
      <c r="I39" t="inlineStr">
        <is>
          <t>2026-04-21/trade-rec-2026-04-21.md</t>
        </is>
      </c>
    </row>
    <row r="40">
      <c r="A40" s="17" t="n">
        <v>46133</v>
      </c>
      <c r="B40" t="inlineStr">
        <is>
          <t>V026 Residual Momentum</t>
        </is>
      </c>
      <c r="C40" t="inlineStr">
        <is>
          <t>MU</t>
        </is>
      </c>
      <c r="D40" t="inlineStr">
        <is>
          <t>T: MISSING-&gt;+1 (resid+15.63%)</t>
        </is>
      </c>
      <c r="E40" t="inlineStr">
        <is>
          <t>T=0 blocked</t>
        </is>
      </c>
      <c r="F40" t="inlineStr">
        <is>
          <t>T=+1</t>
        </is>
      </c>
      <c r="G40" t="inlineStr">
        <is>
          <t>New Sum+3 near-miss N040</t>
        </is>
      </c>
      <c r="H40" t="inlineStr">
        <is>
          <t>YES</t>
        </is>
      </c>
      <c r="I40" t="inlineStr">
        <is>
          <t>2026-04-21/trade-rec-2026-04-21.md</t>
        </is>
      </c>
    </row>
    <row r="41">
      <c r="A41" s="17" t="n">
        <v>46133</v>
      </c>
      <c r="B41" t="inlineStr">
        <is>
          <t>V027 IC z-score</t>
        </is>
      </c>
      <c r="C41" t="inlineStr">
        <is>
          <t>All equity/intl</t>
        </is>
      </c>
      <c r="D41" t="inlineStr">
        <is>
          <t>z: MISSING-&gt;+1.65 (fresh Apr-21)</t>
        </is>
      </c>
      <c r="E41" t="inlineStr">
        <is>
          <t>R=+1 proxy-only</t>
        </is>
      </c>
      <c r="F41" t="inlineStr">
        <is>
          <t>R=+1 Grade A confirmed</t>
        </is>
      </c>
      <c r="G41" t="inlineStr">
        <is>
          <t>R confidence upgraded; full sizing confirmed per Risk Rules 1.B</t>
        </is>
      </c>
      <c r="H41" t="inlineStr">
        <is>
          <t>YES</t>
        </is>
      </c>
      <c r="I41" t="inlineStr">
        <is>
          <t>2026-04-21/trade-rec-2026-04-21.md</t>
        </is>
      </c>
    </row>
    <row r="42">
      <c r="A42" s="17" t="n">
        <v>46133</v>
      </c>
      <c r="B42" t="inlineStr">
        <is>
          <t>MOVE (Bond Vol Index)</t>
        </is>
      </c>
      <c r="C42" t="inlineStr">
        <is>
          <t>All assets</t>
        </is>
      </c>
      <c r="D42" t="inlineStr">
        <is>
          <t>67.90 (A fresh) was MISSING in cloud</t>
        </is>
      </c>
      <c r="E42" t="inlineStr">
        <is>
          <t>R=+1 HY OAS proxy</t>
        </is>
      </c>
      <c r="F42" t="inlineStr">
        <is>
          <t>R=+1 Grade A triple (MOVE+HY+V027)</t>
        </is>
      </c>
      <c r="G42" t="inlineStr">
        <is>
          <t>R=+1 now Grade A confirmed across 3 independent inputs</t>
        </is>
      </c>
      <c r="H42" t="inlineStr">
        <is>
          <t>YES</t>
        </is>
      </c>
      <c r="I42" t="inlineStr">
        <is>
          <t>2026-04-21/trade-rec-2026-04-21.md</t>
        </is>
      </c>
    </row>
  </sheetData>
  <autoFilter ref="A1:I1"/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zoomScaleNormal="100" workbookViewId="0">
      <selection activeCell="A1" sqref="A1"/>
    </sheetView>
  </sheetViews>
  <sheetFormatPr baseColWidth="8" defaultColWidth="8.6640625" defaultRowHeight="14.25"/>
  <cols>
    <col width="25" customWidth="1" style="15" min="1" max="1"/>
    <col width="20" customWidth="1" style="15" min="2" max="3"/>
    <col width="15" customWidth="1" style="15" min="4" max="5"/>
  </cols>
  <sheetData>
    <row r="1" ht="17.35" customHeight="1" s="15">
      <c r="A1" s="14" t="inlineStr">
        <is>
          <t>Performance Statistics</t>
        </is>
      </c>
    </row>
    <row r="3" ht="15" customHeight="1" s="15">
      <c r="A3" s="5" t="inlineStr">
        <is>
          <t>Metric</t>
        </is>
      </c>
      <c r="B3" s="5" t="inlineStr">
        <is>
          <t>Value</t>
        </is>
      </c>
      <c r="C3" s="5" t="inlineStr">
        <is>
          <t>Formula</t>
        </is>
      </c>
    </row>
    <row r="4" ht="15" customHeight="1" s="15">
      <c r="A4" s="6" t="inlineStr">
        <is>
          <t>Total Signals</t>
        </is>
      </c>
      <c r="B4" s="7">
        <f>COUNTA(SignalLedger!A2:A10000)</f>
        <v/>
      </c>
      <c r="C4" s="8" t="inlineStr">
        <is>
          <t>Count all logged signals</t>
        </is>
      </c>
    </row>
    <row r="5" ht="15" customHeight="1" s="15">
      <c r="A5" s="6" t="inlineStr">
        <is>
          <t>Promoted Signals</t>
        </is>
      </c>
      <c r="B5" s="7">
        <f>COUNTIF(SignalLedger!B2:B10000,"Promoted")</f>
        <v/>
      </c>
      <c r="C5" s="8" t="inlineStr">
        <is>
          <t>Type = Promoted</t>
        </is>
      </c>
    </row>
    <row r="6" ht="15" customHeight="1" s="15">
      <c r="A6" s="6" t="inlineStr">
        <is>
          <t>Near-Miss Signals</t>
        </is>
      </c>
      <c r="B6" s="7">
        <f>COUNTIF(SignalLedger!B2:B10000,"Near-Miss")</f>
        <v/>
      </c>
      <c r="C6" s="8" t="inlineStr">
        <is>
          <t>Type = Near-Miss</t>
        </is>
      </c>
    </row>
    <row r="7" ht="15" customHeight="1" s="15">
      <c r="A7" s="6" t="inlineStr">
        <is>
          <t>Open Signals</t>
        </is>
      </c>
      <c r="B7" s="7">
        <f>COUNTIF(SignalLedger!W2:W10000,"OPEN")</f>
        <v/>
      </c>
      <c r="C7" s="8" t="inlineStr">
        <is>
          <t>Status = OPEN</t>
        </is>
      </c>
    </row>
    <row r="8" ht="15" customHeight="1" s="15">
      <c r="A8" s="6" t="inlineStr">
        <is>
          <t>Hit Target</t>
        </is>
      </c>
      <c r="B8" s="7">
        <f>COUNTIF(SignalLedger!W2:W10000,"HIT_TARGET")</f>
        <v/>
      </c>
      <c r="C8" s="8" t="inlineStr">
        <is>
          <t>Status = HIT_TARGET</t>
        </is>
      </c>
    </row>
    <row r="9" ht="15" customHeight="1" s="15">
      <c r="A9" s="6" t="inlineStr">
        <is>
          <t>Hit Stop</t>
        </is>
      </c>
      <c r="B9" s="7">
        <f>COUNTIF(SignalLedger!W2:W10000,"HIT_STOP")</f>
        <v/>
      </c>
      <c r="C9" s="8" t="inlineStr">
        <is>
          <t>Status = HIT_STOP</t>
        </is>
      </c>
    </row>
    <row r="10" ht="15" customHeight="1" s="15">
      <c r="A10" s="6" t="inlineStr">
        <is>
          <t>Expired</t>
        </is>
      </c>
      <c r="B10" s="7">
        <f>COUNTIF(SignalLedger!W2:W10000,"EXPIRED")</f>
        <v/>
      </c>
      <c r="C10" s="8" t="inlineStr">
        <is>
          <t>Status = EXPIRED</t>
        </is>
      </c>
    </row>
    <row r="11" ht="15" customHeight="1" s="15">
      <c r="A11" s="6" t="inlineStr">
        <is>
          <t>Win Rate (closed only)</t>
        </is>
      </c>
      <c r="B11" s="7">
        <f>IFERROR(COUNTIF(SignalLedger!W2:W10000,"HIT_TARGET")/(COUNTIF(SignalLedger!W2:W10000,"HIT_TARGET")+COUNTIF(SignalLedger!W2:W10000,"HIT_STOP")+COUNTIF(SignalLedger!W2:W10000,"EXPIRED")),"-")</f>
        <v/>
      </c>
      <c r="C11" s="8" t="inlineStr">
        <is>
          <t>Target/(Target+Stop+Expired)</t>
        </is>
      </c>
    </row>
    <row r="12" ht="15" customHeight="1" s="15">
      <c r="A12" s="6" t="inlineStr">
        <is>
          <t>Avg Hypo P&amp;L %</t>
        </is>
      </c>
      <c r="B12" s="7">
        <f>IFERROR(AVERAGEIF(SignalLedger!AD2:AD10000,"&lt;&gt;"&amp;""),"-")</f>
        <v/>
      </c>
      <c r="C12" s="8" t="inlineStr">
        <is>
          <t>Average non-blank P&amp;L</t>
        </is>
      </c>
    </row>
    <row r="13" ht="15" customHeight="1" s="15">
      <c r="A13" s="6" t="inlineStr">
        <is>
          <t>Days in Operation</t>
        </is>
      </c>
      <c r="B13" s="7">
        <f>IFERROR(MAX(SignalLedger!C2:C10000)-MIN(SignalLedger!C2:C10000),0)</f>
        <v/>
      </c>
      <c r="C13" s="8" t="inlineStr">
        <is>
          <t>Max date - Min date</t>
        </is>
      </c>
    </row>
    <row r="16" ht="15" customHeight="1" s="15">
      <c r="A16" s="9" t="inlineStr">
        <is>
          <t>By Asset Class</t>
        </is>
      </c>
    </row>
    <row r="17" ht="15" customHeight="1" s="15">
      <c r="A17" s="5" t="inlineStr">
        <is>
          <t>Asset Class</t>
        </is>
      </c>
      <c r="B17" s="5" t="inlineStr">
        <is>
          <t>Signal Count</t>
        </is>
      </c>
      <c r="C17" s="5" t="inlineStr">
        <is>
          <t>Win Rate</t>
        </is>
      </c>
      <c r="D17" s="5" t="inlineStr">
        <is>
          <t>Avg Move %</t>
        </is>
      </c>
    </row>
    <row r="18" ht="15" customHeight="1" s="15">
      <c r="A18" s="6" t="inlineStr">
        <is>
          <t>Crypto</t>
        </is>
      </c>
      <c r="B18" s="7">
        <f>COUNTIF(SignalLedger!E2:E10000,"Crypto")</f>
        <v/>
      </c>
      <c r="C18" s="6" t="inlineStr">
        <is>
          <t>-</t>
        </is>
      </c>
      <c r="D18" s="6" t="inlineStr">
        <is>
          <t>-</t>
        </is>
      </c>
    </row>
    <row r="19" ht="15" customHeight="1" s="15">
      <c r="A19" s="6" t="inlineStr">
        <is>
          <t>Equities</t>
        </is>
      </c>
      <c r="B19" s="7">
        <f>COUNTIF(SignalLedger!E2:E10000,"Equities")</f>
        <v/>
      </c>
      <c r="C19" s="6" t="inlineStr">
        <is>
          <t>-</t>
        </is>
      </c>
      <c r="D19" s="6" t="inlineStr">
        <is>
          <t>-</t>
        </is>
      </c>
    </row>
    <row r="20" ht="15" customHeight="1" s="15">
      <c r="A20" s="6" t="inlineStr">
        <is>
          <t>ETFs/Indices</t>
        </is>
      </c>
      <c r="B20" s="7">
        <f>COUNTIF(SignalLedger!E2:E10000,"ETFs/Indices")</f>
        <v/>
      </c>
      <c r="C20" s="6" t="inlineStr">
        <is>
          <t>-</t>
        </is>
      </c>
      <c r="D20" s="6" t="inlineStr">
        <is>
          <t>-</t>
        </is>
      </c>
    </row>
    <row r="21" ht="15" customHeight="1" s="15">
      <c r="A21" s="6" t="inlineStr">
        <is>
          <t>Commodities</t>
        </is>
      </c>
      <c r="B21" s="7">
        <f>COUNTIF(SignalLedger!E2:E10000,"Commodities")</f>
        <v/>
      </c>
      <c r="C21" s="6" t="inlineStr">
        <is>
          <t>-</t>
        </is>
      </c>
      <c r="D21" s="6" t="inlineStr">
        <is>
          <t>-</t>
        </is>
      </c>
    </row>
    <row r="22" ht="15" customHeight="1" s="15">
      <c r="A22" s="6" t="inlineStr">
        <is>
          <t>FX</t>
        </is>
      </c>
      <c r="B22" s="7">
        <f>COUNTIF(SignalLedger!E2:E10000,"FX")</f>
        <v/>
      </c>
      <c r="C22" s="6" t="inlineStr">
        <is>
          <t>-</t>
        </is>
      </c>
      <c r="D22" s="6" t="inlineStr">
        <is>
          <t>-</t>
        </is>
      </c>
    </row>
    <row r="25" ht="15" customHeight="1" s="15">
      <c r="A25" s="9" t="inlineStr">
        <is>
          <t>By Score Component (when = +1)</t>
        </is>
      </c>
    </row>
    <row r="26" ht="15" customHeight="1" s="15">
      <c r="A26" s="5" t="inlineStr">
        <is>
          <t>Component</t>
        </is>
      </c>
      <c r="B26" s="5" t="inlineStr">
        <is>
          <t>+1 Count</t>
        </is>
      </c>
      <c r="C26" s="5" t="inlineStr">
        <is>
          <t>+1 Win Rate</t>
        </is>
      </c>
      <c r="D26" s="5" t="inlineStr">
        <is>
          <t>-1 Count</t>
        </is>
      </c>
      <c r="E26" s="5" t="inlineStr">
        <is>
          <t>-1 Win Rate</t>
        </is>
      </c>
    </row>
    <row r="27" ht="15" customHeight="1" s="15">
      <c r="A27" s="6" t="inlineStr">
        <is>
          <t>S</t>
        </is>
      </c>
      <c r="B27" s="7">
        <f>COUNTIF(SignalLedger!G2:G10000,1)</f>
        <v/>
      </c>
      <c r="C27" s="6" t="inlineStr">
        <is>
          <t>-</t>
        </is>
      </c>
      <c r="D27" s="7">
        <f>COUNTIF(SignalLedger!G2:G10000,-1)</f>
        <v/>
      </c>
      <c r="E27" s="6" t="inlineStr">
        <is>
          <t>-</t>
        </is>
      </c>
    </row>
    <row r="28" ht="15" customHeight="1" s="15">
      <c r="A28" s="6" t="inlineStr">
        <is>
          <t>T</t>
        </is>
      </c>
      <c r="B28" s="7">
        <f>COUNTIF(SignalLedger!H2:H10000,1)</f>
        <v/>
      </c>
      <c r="C28" s="6" t="inlineStr">
        <is>
          <t>-</t>
        </is>
      </c>
      <c r="D28" s="7">
        <f>COUNTIF(SignalLedger!H2:H10000,-1)</f>
        <v/>
      </c>
      <c r="E28" s="6" t="inlineStr">
        <is>
          <t>-</t>
        </is>
      </c>
    </row>
    <row r="29" ht="15" customHeight="1" s="15">
      <c r="A29" s="6" t="inlineStr">
        <is>
          <t>C</t>
        </is>
      </c>
      <c r="B29" s="7">
        <f>COUNTIF(SignalLedger!I2:I10000,1)</f>
        <v/>
      </c>
      <c r="C29" s="6" t="inlineStr">
        <is>
          <t>-</t>
        </is>
      </c>
      <c r="D29" s="7">
        <f>COUNTIF(SignalLedger!I2:I10000,-1)</f>
        <v/>
      </c>
      <c r="E29" s="6" t="inlineStr">
        <is>
          <t>-</t>
        </is>
      </c>
    </row>
    <row r="30" ht="15" customHeight="1" s="15">
      <c r="A30" s="6" t="inlineStr">
        <is>
          <t>R</t>
        </is>
      </c>
      <c r="B30" s="7">
        <f>COUNTIF(SignalLedger!J2:J10000,1)</f>
        <v/>
      </c>
      <c r="C30" s="6" t="inlineStr">
        <is>
          <t>-</t>
        </is>
      </c>
      <c r="D30" s="7">
        <f>COUNTIF(SignalLedger!J2:J10000,-1)</f>
        <v/>
      </c>
      <c r="E30" s="6" t="inlineStr">
        <is>
          <t>-</t>
        </is>
      </c>
    </row>
    <row r="33" ht="15" customHeight="1" s="15">
      <c r="A33" s="9" t="inlineStr">
        <is>
          <t>Variable Registry Summary</t>
        </is>
      </c>
    </row>
    <row r="34" ht="15" customHeight="1" s="15">
      <c r="A34" s="5" t="inlineStr">
        <is>
          <t>Status</t>
        </is>
      </c>
      <c r="B34" s="5" t="inlineStr">
        <is>
          <t>Count</t>
        </is>
      </c>
    </row>
    <row r="35" ht="15" customHeight="1" s="15">
      <c r="A35" s="6" t="inlineStr">
        <is>
          <t>Candidate</t>
        </is>
      </c>
      <c r="B35" s="7">
        <f>COUNTIF(VariableRegistry!J2:J10000,"Candidate")</f>
        <v/>
      </c>
    </row>
    <row r="36" ht="15" customHeight="1" s="15">
      <c r="A36" s="6" t="inlineStr">
        <is>
          <t>Watchlist</t>
        </is>
      </c>
      <c r="B36" s="7">
        <f>COUNTIF(VariableRegistry!J2:J10000,"Watchlist")</f>
        <v/>
      </c>
    </row>
    <row r="37" ht="15" customHeight="1" s="15">
      <c r="A37" s="6" t="inlineStr">
        <is>
          <t>Under Review</t>
        </is>
      </c>
      <c r="B37" s="7">
        <f>COUNTIF(VariableRegistry!J2:J10000,"Under Review")</f>
        <v/>
      </c>
    </row>
    <row r="38" ht="15" customHeight="1" s="15">
      <c r="A38" s="6" t="inlineStr">
        <is>
          <t>Provisionally Useful</t>
        </is>
      </c>
      <c r="B38" s="7">
        <f>COUNTIF(VariableRegistry!J2:J10000,"Provisionally Useful")</f>
        <v/>
      </c>
    </row>
    <row r="39" ht="15" customHeight="1" s="15">
      <c r="A39" s="6" t="inlineStr">
        <is>
          <t>Approved</t>
        </is>
      </c>
      <c r="B39" s="7">
        <f>COUNTIF(VariableRegistry!J2:J10000,"Approved")</f>
        <v/>
      </c>
    </row>
    <row r="40" ht="15" customHeight="1" s="15">
      <c r="A40" s="6" t="inlineStr">
        <is>
          <t>Grade A</t>
        </is>
      </c>
      <c r="B40" s="7">
        <f>COUNTIF(VariableRegistry!J2:J10000,"Grade A")</f>
        <v/>
      </c>
    </row>
    <row r="41" ht="15" customHeight="1" s="15">
      <c r="A41" s="6" t="inlineStr">
        <is>
          <t>Rejected</t>
        </is>
      </c>
      <c r="B41" s="7">
        <f>COUNTIF(VariableRegistry!J2:J10000,"Rejected")</f>
        <v/>
      </c>
    </row>
    <row r="42" ht="15" customHeight="1" s="15">
      <c r="A42" s="6" t="inlineStr">
        <is>
          <t>Retired</t>
        </is>
      </c>
      <c r="B42" s="7">
        <f>COUNTIF(VariableRegistry!J2:J10000,"Retired")</f>
        <v/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7"/>
  <sheetViews>
    <sheetView zoomScaleNormal="100" workbookViewId="0">
      <selection activeCell="A1" sqref="A1"/>
    </sheetView>
  </sheetViews>
  <sheetFormatPr baseColWidth="8" defaultColWidth="8.6640625" defaultRowHeight="14.25"/>
  <cols>
    <col width="25" customWidth="1" style="15" min="1" max="1"/>
    <col width="80" customWidth="1" style="15" min="2" max="2"/>
  </cols>
  <sheetData>
    <row r="1" ht="17.35" customHeight="1" s="15">
      <c r="A1" s="14" t="inlineStr">
        <is>
          <t>Master Data Log — Architecture Documentation</t>
        </is>
      </c>
    </row>
    <row r="2" ht="15" customHeight="1" s="15">
      <c r="A2" s="6" t="n"/>
    </row>
    <row r="3" ht="15" customHeight="1" s="15">
      <c r="A3" s="6" t="inlineStr">
        <is>
          <t>Created: 2026-04-15</t>
        </is>
      </c>
    </row>
    <row r="4" ht="15" customHeight="1" s="15">
      <c r="A4" s="6" t="inlineStr">
        <is>
          <t>Purpose: Structured analytical data store for Gerald's trading workspace</t>
        </is>
      </c>
    </row>
    <row r="5" ht="15" customHeight="1" s="15">
      <c r="A5" s="6" t="n"/>
    </row>
    <row r="6" ht="15" customHeight="1" s="15">
      <c r="A6" s="10" t="inlineStr">
        <is>
          <t>SHEET DESCRIPTIONS:</t>
        </is>
      </c>
    </row>
    <row r="7" ht="15" customHeight="1" s="15">
      <c r="A7" s="6" t="n"/>
    </row>
    <row r="8" ht="15" customHeight="1" s="15">
      <c r="A8" s="11" t="inlineStr">
        <is>
          <t>DailyVariables</t>
        </is>
      </c>
      <c r="B8" s="6" t="inlineStr">
        <is>
          <t>One row per trading day. All Grade A/B variable readings from the market brief.</t>
        </is>
      </c>
    </row>
    <row r="9" ht="15" customHeight="1" s="15">
      <c r="A9" s="6" t="n"/>
      <c r="B9" s="6" t="inlineStr">
        <is>
          <t>Producer: market-brief skill (appends row daily at 20:00 UTC+8)</t>
        </is>
      </c>
    </row>
    <row r="10" ht="15" customHeight="1" s="15">
      <c r="A10" s="6" t="n"/>
      <c r="B10" s="6" t="inlineStr">
        <is>
          <t>Consumer: signal-review, quarterly-methodology-review</t>
        </is>
      </c>
    </row>
    <row r="11" ht="15" customHeight="1" s="15">
      <c r="A11" s="6" t="n"/>
    </row>
    <row r="12" ht="15" customHeight="1" s="15">
      <c r="A12" s="11" t="inlineStr">
        <is>
          <t>SignalLedger</t>
        </is>
      </c>
      <c r="B12" s="6" t="inlineStr">
        <is>
          <t>All promoted and near-miss signals. Append-only ledger — one row per signal.</t>
        </is>
      </c>
    </row>
    <row r="13" ht="15" customHeight="1" s="15">
      <c r="A13" s="6" t="n"/>
      <c r="B13" s="6" t="inlineStr">
        <is>
          <t>Producer: daily-trade-rec skill (appends rows at 20:25 UTC+8)</t>
        </is>
      </c>
    </row>
    <row r="14" ht="15" customHeight="1" s="15">
      <c r="A14" s="6" t="n"/>
      <c r="B14" s="6" t="inlineStr">
        <is>
          <t>Consumer: signal-review (marks-to-market weekly), quarterly-review</t>
        </is>
      </c>
    </row>
    <row r="15" ht="15" customHeight="1" s="15">
      <c r="A15" s="6" t="n"/>
    </row>
    <row r="16" ht="15" customHeight="1" s="15">
      <c r="A16" s="11" t="inlineStr">
        <is>
          <t>RegimeHistory</t>
        </is>
      </c>
      <c r="B16" s="6" t="inlineStr">
        <is>
          <t>Daily regime label and state dimensions. One row per trading day.</t>
        </is>
      </c>
    </row>
    <row r="17" ht="15" customHeight="1" s="15">
      <c r="A17" s="6" t="n"/>
      <c r="B17" s="6" t="inlineStr">
        <is>
          <t>Producer: market-brief skill</t>
        </is>
      </c>
    </row>
    <row r="18" ht="15" customHeight="1" s="15">
      <c r="A18" s="6" t="n"/>
      <c r="B18" s="6" t="inlineStr">
        <is>
          <t>Consumer: signal-review (regime-conditional analysis)</t>
        </is>
      </c>
    </row>
    <row r="19" ht="15" customHeight="1" s="15">
      <c r="A19" s="6" t="n"/>
    </row>
    <row r="20" ht="15" customHeight="1" s="15">
      <c r="A20" s="11" t="inlineStr">
        <is>
          <t>VariableRegistry</t>
        </is>
      </c>
      <c r="B20" s="6" t="inlineStr">
        <is>
          <t>The variable discovery and lifecycle system.</t>
        </is>
      </c>
    </row>
    <row r="21" ht="15" customHeight="1" s="15">
      <c r="A21" s="6" t="n"/>
      <c r="B21" s="6" t="inlineStr">
        <is>
          <t>Status ladder: Candidate → Watchlist → Under Review → Provisionally Useful → Approved → Grade A</t>
        </is>
      </c>
    </row>
    <row r="22" ht="15" customHeight="1" s="15">
      <c r="A22" s="6" t="n"/>
      <c r="B22" s="6" t="inlineStr">
        <is>
          <t>Producers: literature-review (semi-annual), market-brief (daily observations), quarterly-review (promotions)</t>
        </is>
      </c>
    </row>
    <row r="23" ht="15" customHeight="1" s="15">
      <c r="A23" s="6" t="n"/>
      <c r="B23" s="6" t="inlineStr">
        <is>
          <t>Review cadence: Daily add, Weekly clean, Monthly watchlist review, Quarterly promote/demote</t>
        </is>
      </c>
    </row>
    <row r="24" ht="15" customHeight="1" s="15">
      <c r="A24" s="6" t="n"/>
    </row>
    <row r="25" ht="15" customHeight="1" s="15">
      <c r="A25" s="11" t="inlineStr">
        <is>
          <t>CatalystLog</t>
        </is>
      </c>
      <c r="B25" s="6" t="inlineStr">
        <is>
          <t>Named catalysts and their resolution outcomes.</t>
        </is>
      </c>
    </row>
    <row r="26" ht="15" customHeight="1" s="15">
      <c r="A26" s="6" t="n"/>
      <c r="B26" s="6" t="inlineStr">
        <is>
          <t>Producer: daily-trade-rec skill (from §4 catalyst map)</t>
        </is>
      </c>
    </row>
    <row r="27" ht="15" customHeight="1" s="15">
      <c r="A27" s="6" t="n"/>
      <c r="B27" s="6" t="inlineStr">
        <is>
          <t>Consumer: signal-review (catalyst resolution tracking)</t>
        </is>
      </c>
    </row>
    <row r="28" ht="15" customHeight="1" s="15">
      <c r="A28" s="6" t="n"/>
    </row>
    <row r="29" ht="15" customHeight="1" s="15">
      <c r="A29" s="11" t="inlineStr">
        <is>
          <t>DataQuality</t>
        </is>
      </c>
      <c r="B29" s="6" t="inlineStr">
        <is>
          <t>Daily data completeness tracking. MISSING rates and pipeline health.</t>
        </is>
      </c>
    </row>
    <row r="30" ht="15" customHeight="1" s="15">
      <c r="A30" s="6" t="n"/>
      <c r="B30" s="6" t="inlineStr">
        <is>
          <t>Producer: market-brief and preflight-check skills</t>
        </is>
      </c>
    </row>
    <row r="31" ht="15" customHeight="1" s="15">
      <c r="A31" s="6" t="n"/>
      <c r="B31" s="6" t="inlineStr">
        <is>
          <t>Consumer: quarterly-review (data pipeline audit)</t>
        </is>
      </c>
    </row>
    <row r="32" ht="15" customHeight="1" s="15">
      <c r="A32" s="6" t="n"/>
    </row>
    <row r="33" ht="15" customHeight="1" s="15">
      <c r="A33" s="11" t="inlineStr">
        <is>
          <t>AuditAdditionLog</t>
        </is>
      </c>
      <c r="B33" s="6" t="inlineStr">
        <is>
          <t>Contribution log for the three audit-addition variables.</t>
        </is>
      </c>
    </row>
    <row r="34" ht="15" customHeight="1" s="15">
      <c r="A34" s="6" t="n"/>
      <c r="B34" s="6" t="inlineStr">
        <is>
          <t>Replaces Memory.md §10. Evidence base for the 2026-10-14 review.</t>
        </is>
      </c>
    </row>
    <row r="35" ht="15" customHeight="1" s="15">
      <c r="A35" s="6" t="n"/>
      <c r="B35" s="6" t="inlineStr">
        <is>
          <t>Producer: daily-trade-rec skill</t>
        </is>
      </c>
    </row>
    <row r="36" ht="15" customHeight="1" s="15">
      <c r="A36" s="6" t="n"/>
    </row>
    <row r="37" ht="15" customHeight="1" s="15">
      <c r="A37" s="11" t="inlineStr">
        <is>
          <t>PerformanceStats</t>
        </is>
      </c>
      <c r="B37" s="6" t="inlineStr">
        <is>
          <t>Summary formulas referencing SignalLedger. Auto-computed.</t>
        </is>
      </c>
    </row>
    <row r="38" ht="15" customHeight="1" s="15">
      <c r="A38" s="6" t="n"/>
      <c r="B38" s="6" t="inlineStr">
        <is>
          <t>Includes win rates, asset class breakdowns, score component analysis, variable registry summary.</t>
        </is>
      </c>
    </row>
    <row r="39" ht="15" customHeight="1" s="15">
      <c r="A39" s="33" t="inlineStr">
        <is>
          <t>HypoLedger</t>
        </is>
      </c>
      <c r="B39" t="inlineStr">
        <is>
          <t>All formally promoted signals (Sum&gt;=3, checklist PASS) tracked at recommendation price for system efficacy measurement.</t>
        </is>
      </c>
    </row>
    <row r="40" ht="15" customHeight="1" s="15">
      <c r="B40" t="inlineStr">
        <is>
          <t>Producer: daily-trade-rec skill Step 8.5 (appends H### rows at rec time)</t>
        </is>
      </c>
    </row>
    <row r="41" ht="15" customHeight="1" s="15">
      <c r="B41" t="inlineStr">
        <is>
          <t>Consumer: signal-review (marks to market weekly, produces dim-14 efficacy report in PerformanceStats)</t>
        </is>
      </c>
    </row>
    <row r="42" ht="15" customHeight="1" s="15">
      <c r="B42" t="inlineStr">
        <is>
          <t>Key columns: H_ID, Rec_Date, Asset, Direction, Entry_Price_Rec, Stop_Rec, TP1_Rec, Hypo_Entry_Price, Hypo_Current_Price, Hypo_PnL_%, Actual_Taken, Actual_PnL_%</t>
        </is>
      </c>
    </row>
    <row r="43" ht="15" customHeight="1" s="15">
      <c r="A43" s="6" t="n"/>
    </row>
    <row r="44" ht="15" customHeight="1" s="15">
      <c r="A44" s="10" t="inlineStr">
        <is>
          <t>RULES:</t>
        </is>
      </c>
    </row>
    <row r="45" ht="15" customHeight="1" s="15">
      <c r="A45" s="11" t="inlineStr">
        <is>
          <t>1. SignalLedger is append-only. Never delete or retroactively edit rows.</t>
        </is>
      </c>
    </row>
    <row r="46" ht="15" customHeight="1" s="15">
      <c r="A46" s="11" t="inlineStr">
        <is>
          <t>2. DailyVariables: one row per trading day. Overwrite only if same-day correction (note in Source_Brief).</t>
        </is>
      </c>
    </row>
    <row r="47" ht="15" customHeight="1" s="15">
      <c r="A47" s="11" t="inlineStr">
        <is>
          <t>3. VariableRegistry: variables can change status but are never deleted. Rejected/Retired variables stay for audit trail.</t>
        </is>
      </c>
    </row>
    <row r="48" ht="15" customHeight="1" s="15">
      <c r="A48" s="11" t="inlineStr">
        <is>
          <t>4. Markdown files remain the human-readable presentation layer. This workbook is the analytical layer.</t>
        </is>
      </c>
    </row>
    <row r="49" ht="15" customHeight="1" s="15">
      <c r="A49" s="11" t="inlineStr">
        <is>
          <t>5. If markdown and Excel diverge, Excel is source of truth for quantitative data.</t>
        </is>
      </c>
    </row>
    <row r="50" ht="15" customHeight="1" s="15">
      <c r="A50" s="6" t="n"/>
    </row>
    <row r="51" ht="15" customHeight="1" s="15">
      <c r="A51" s="10" t="inlineStr">
        <is>
          <t>VARIABLE DISCOVERY SYSTEM:</t>
        </is>
      </c>
    </row>
    <row r="52" ht="15" customHeight="1" s="15">
      <c r="A52" s="11" t="inlineStr">
        <is>
          <t>Status Ladder:</t>
        </is>
      </c>
    </row>
    <row r="53" ht="15" customHeight="1" s="15">
      <c r="A53" s="6" t="inlineStr">
        <is>
          <t xml:space="preserve">  Candidate — plausible idea, not yet assessed</t>
        </is>
      </c>
    </row>
    <row r="54" ht="15" customHeight="1" s="15">
      <c r="A54" s="6" t="inlineStr">
        <is>
          <t xml:space="preserve">  Watchlist — weak or mixed evidence, worth tracking over time</t>
        </is>
      </c>
    </row>
    <row r="55" ht="15" customHeight="1" s="15">
      <c r="A55" s="6" t="inlineStr">
        <is>
          <t xml:space="preserve">  Under Review — being actively assessed with data</t>
        </is>
      </c>
    </row>
    <row r="56" ht="15" customHeight="1" s="15">
      <c r="A56" s="6" t="inlineStr">
        <is>
          <t xml:space="preserve">  Provisionally Useful — seems helpful but not fully trusted (pilot phase)</t>
        </is>
      </c>
    </row>
    <row r="57" ht="15" customHeight="1" s="15">
      <c r="A57" s="6" t="inlineStr">
        <is>
          <t xml:space="preserve">  Approved — good enough for regular use, pending Grade A evidence</t>
        </is>
      </c>
    </row>
    <row r="58" ht="15" customHeight="1" s="15">
      <c r="A58" s="6" t="inlineStr">
        <is>
          <t xml:space="preserve">  Grade A — strong evidence, repeated usefulness, in core methodology</t>
        </is>
      </c>
    </row>
    <row r="59" ht="15" customHeight="1" s="15">
      <c r="A59" s="6" t="inlineStr">
        <is>
          <t xml:space="preserve">  Rejected — failed screening or proved unhelpful; kept for audit trail</t>
        </is>
      </c>
    </row>
    <row r="60" ht="15" customHeight="1" s="15">
      <c r="A60" s="6" t="inlineStr">
        <is>
          <t xml:space="preserve">  Retired — was useful but no longer (regime change, decay, etc.)</t>
        </is>
      </c>
    </row>
    <row r="61" ht="15" customHeight="1" s="15">
      <c r="A61" s="6" t="n"/>
    </row>
    <row r="62" ht="15" customHeight="1" s="15">
      <c r="A62" s="11" t="inlineStr">
        <is>
          <t>Review Cadence:</t>
        </is>
      </c>
    </row>
    <row r="63" ht="15" customHeight="1" s="15">
      <c r="A63" s="6" t="inlineStr">
        <is>
          <t xml:space="preserve">  Daily: literature-review and market-brief can add Candidate entries</t>
        </is>
      </c>
    </row>
    <row r="64">
      <c r="A64" s="6" t="inlineStr">
        <is>
          <t xml:space="preserve">  Weekly: signal-review flags blocking patterns that suggest variable gaps</t>
        </is>
      </c>
    </row>
    <row r="65">
      <c r="A65" s="6" t="inlineStr">
        <is>
          <t xml:space="preserve">  Monthly: bootstrap-review and quarterly-review assess Watchlist promotions</t>
        </is>
      </c>
    </row>
    <row r="66">
      <c r="A66" s="6" t="inlineStr">
        <is>
          <t xml:space="preserve">  Quarterly: formal promote/demote/reject decisions with Gerald sign-off</t>
        </is>
      </c>
    </row>
    <row r="67">
      <c r="A67" s="6" t="inlineStr">
        <is>
          <t xml:space="preserve">  Semi-annual: literature-review deep scan for new academic variables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4.25"/>
  <cols>
    <col width="12" customWidth="1" style="15" min="1" max="1"/>
    <col width="18" customWidth="1" style="15" min="2" max="2"/>
    <col width="60" customWidth="1" style="15" min="3" max="3"/>
    <col width="45" customWidth="1" style="15" min="4" max="4"/>
    <col width="60" customWidth="1" style="15" min="5" max="6"/>
    <col width="12" customWidth="1" style="15" min="7" max="7"/>
    <col width="40" customWidth="1" style="15" min="8" max="9"/>
    <col width="60" customWidth="1" style="15" min="10" max="10"/>
  </cols>
  <sheetData>
    <row r="1">
      <c r="A1" t="inlineStr">
        <is>
          <t>Date</t>
        </is>
      </c>
      <c r="B1" t="inlineStr">
        <is>
          <t>Event_Type</t>
        </is>
      </c>
      <c r="C1" t="inlineStr">
        <is>
          <t>Description</t>
        </is>
      </c>
      <c r="D1" t="inlineStr">
        <is>
          <t>Reference_File</t>
        </is>
      </c>
      <c r="E1" t="inlineStr">
        <is>
          <t>Affects_Sheets</t>
        </is>
      </c>
      <c r="F1" t="inlineStr">
        <is>
          <t>Affects_Variables</t>
        </is>
      </c>
      <c r="G1" t="inlineStr">
        <is>
          <t>Requires_Gerald_Approval</t>
        </is>
      </c>
      <c r="H1" t="inlineStr">
        <is>
          <t>Approval_Status</t>
        </is>
      </c>
      <c r="I1" t="inlineStr">
        <is>
          <t>Source_Skill</t>
        </is>
      </c>
      <c r="J1" t="inlineStr">
        <is>
          <t>Notes</t>
        </is>
      </c>
    </row>
    <row r="2">
      <c r="A2" s="12" t="n">
        <v>46130</v>
      </c>
      <c r="B2" t="inlineStr">
        <is>
          <t>MetaIntegration</t>
        </is>
      </c>
      <c r="C2" t="inlineStr">
        <is>
          <t>2026-04-18 meta-analysis integration — 5 new variables (V029 BAB A, V030 DealerGamma B, V031 GP/A A, V032 CEI A, V033-V035 C009 Faber TAA A) + new Step 1.5 Overlay Regime Gate + 4 scoring rule additions + bucket crosswalk appendix. Phase 1 documentation patches to Methodology Prompt, Risk Rules, Data Sources, Trad core executed under Gerald approval on pre-flight summary.</t>
        </is>
      </c>
      <c r="D2" t="inlineStr">
        <is>
          <t>meta-analysis-integration-plan-2026-04-18.md</t>
        </is>
      </c>
      <c r="E2" t="inlineStr">
        <is>
          <t>VariableRegistry (V029-V035 Phase 2), MethodologyNotes (this sheet, created), SignalLedger (schema delta proposed for overlay_gate_status / v027_regime_bucket / bab_sleeve_weight / dealergamma_sleeve_weight columns — PENDING Gerald approval at Phase 1 Gate review)</t>
        </is>
      </c>
      <c r="F2" t="inlineStr">
        <is>
          <t>V029 BAB, V030 DealerGamma, V031 GP/A, V032 CEI, V033 C009_FaberTAA_SPY, V034 C009_FaberTAA_GSCI, V035 C009_FaberTAA_BTC</t>
        </is>
      </c>
      <c r="G2" t="inlineStr">
        <is>
          <t>YES</t>
        </is>
      </c>
      <c r="H2" t="inlineStr">
        <is>
          <t>Gate 1 diff review pending; Phase 2 data-pipeline work gated on separate approval; Phase 3 live scoring after 5-day shadow mode; review date 2026-10-14.</t>
        </is>
      </c>
      <c r="I2" t="inlineStr">
        <is>
          <t>Manual operator (Phase 1 documentation rollout)</t>
        </is>
      </c>
      <c r="J2" t="inlineStr">
        <is>
          <t>DealerGamma (V030) pull requires SqueezeMetrics subscription — CONFIRM with Gerald before Phase 2 coding. V001 VIX + V004 HY OAS downgrade A-to-B per plan §2.3 is FLAGGED pending explicit Gerald approval (not executed in Phase 1 documentation pass per user prompt scope).</t>
        </is>
      </c>
    </row>
    <row r="3">
      <c r="A3" t="inlineStr">
        <is>
          <t>2026-04-18</t>
        </is>
      </c>
      <c r="B3" t="inlineStr">
        <is>
          <t>MetaIntegration-Phase2</t>
        </is>
      </c>
      <c r="C3" t="inlineStr">
        <is>
          <t>Phase 2 data pipeline: V001/V004 A→B downgrade; V029-V035 registry rows added; SignalLedger +4 cols (overlay_gate_status, v027_regime_bucket, bab_sleeve_weight, dealergamma_sleeve_weight); scripts/compute_meta_additions.py created; preflight-meta-additions-1952pm scheduled task created (shadow mode Mon-Fri); meta-shadow-mode-review-2026-04-25 one-time review task created.</t>
        </is>
      </c>
      <c r="D3" t="inlineStr">
        <is>
          <t>meta-analysis-integration-plan-2026-04-18.md; deployment-memo-2026-04-18.md</t>
        </is>
      </c>
      <c r="E3" t="inlineStr">
        <is>
          <t>VariableRegistry; SignalLedger</t>
        </is>
      </c>
      <c r="F3" t="inlineStr">
        <is>
          <t>V001; V004; V029; V030; V031; V032; V033; V034; V035</t>
        </is>
      </c>
      <c r="G3" t="inlineStr">
        <is>
          <t>YES</t>
        </is>
      </c>
      <c r="H3" t="inlineStr">
        <is>
          <t>Executed on delegated judgment (2026-04-18 "Recommend and execute")</t>
        </is>
      </c>
      <c r="I3" t="inlineStr">
        <is>
          <t>Cowork session 2026-04-18</t>
        </is>
      </c>
      <c r="J3" t="inlineStr">
        <is>
          <t>Shadow mode Mon-Fri 2026-04-20..04-24. Review fires 2026-04-25 10:00 UTC+8. V030 MISSING until subscription confirmed; V031/V032 stub-only pending Phase 2b self-compute implementation.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15" min="1" max="1"/>
    <col width="12" customWidth="1" style="15" min="2" max="2"/>
    <col width="30" customWidth="1" style="15" min="3" max="3"/>
    <col width="8" customWidth="1" style="15" min="4" max="4"/>
    <col width="10" customWidth="1" style="15" min="5" max="5"/>
    <col width="5" customWidth="1" style="15" min="6" max="6"/>
    <col width="5" customWidth="1" style="15" min="7" max="7"/>
    <col width="5" customWidth="1" style="15" min="8" max="8"/>
    <col width="5" customWidth="1" style="15" min="9" max="9"/>
    <col width="5" customWidth="1" style="15" min="10" max="10"/>
    <col width="16" customWidth="1" style="15" min="11" max="11"/>
    <col width="10" customWidth="1" style="15" min="12" max="12"/>
    <col width="10" customWidth="1" style="15" min="13" max="13"/>
    <col width="10" customWidth="1" style="15" min="14" max="14"/>
    <col width="12" customWidth="1" style="15" min="15" max="15"/>
    <col width="10" customWidth="1" style="15" min="16" max="16"/>
    <col width="10" customWidth="1" style="15" min="17" max="17"/>
    <col width="17" customWidth="1" style="15" min="18" max="18"/>
    <col width="17" customWidth="1" style="15" min="19" max="19"/>
    <col width="12" customWidth="1" style="15" min="20" max="20"/>
    <col width="13" customWidth="1" style="15" min="21" max="21"/>
    <col width="13" customWidth="1" style="15" min="22" max="22"/>
    <col width="13" customWidth="1" style="15" min="23" max="23"/>
    <col width="13" customWidth="1" style="15" min="24" max="24"/>
    <col width="72" customWidth="1" style="15" min="25" max="25"/>
  </cols>
  <sheetData>
    <row r="1" ht="30" customHeight="1" s="15">
      <c r="A1" s="19" t="inlineStr">
        <is>
          <t>H_ID</t>
        </is>
      </c>
      <c r="B1" s="19" t="inlineStr">
        <is>
          <t>Rec_Date</t>
        </is>
      </c>
      <c r="C1" s="19" t="inlineStr">
        <is>
          <t>Rec_File</t>
        </is>
      </c>
      <c r="D1" s="19" t="inlineStr">
        <is>
          <t>Asset</t>
        </is>
      </c>
      <c r="E1" s="19" t="inlineStr">
        <is>
          <t>Direction</t>
        </is>
      </c>
      <c r="F1" s="19" t="inlineStr">
        <is>
          <t>S</t>
        </is>
      </c>
      <c r="G1" s="19" t="inlineStr">
        <is>
          <t>T</t>
        </is>
      </c>
      <c r="H1" s="19" t="inlineStr">
        <is>
          <t>C</t>
        </is>
      </c>
      <c r="I1" s="19" t="inlineStr">
        <is>
          <t>R</t>
        </is>
      </c>
      <c r="J1" s="19" t="inlineStr">
        <is>
          <t>Sum</t>
        </is>
      </c>
      <c r="K1" s="19" t="inlineStr">
        <is>
          <t>Entry_Price_Rec</t>
        </is>
      </c>
      <c r="L1" s="19" t="inlineStr">
        <is>
          <t>Stop_Rec</t>
        </is>
      </c>
      <c r="M1" s="19" t="inlineStr">
        <is>
          <t>TP1_Rec</t>
        </is>
      </c>
      <c r="N1" s="19" t="inlineStr">
        <is>
          <t>TP2_Rec</t>
        </is>
      </c>
      <c r="O1" s="19" t="inlineStr">
        <is>
          <t>Inv_Date</t>
        </is>
      </c>
      <c r="P1" s="19" t="inlineStr">
        <is>
          <t>Size_Rec_%</t>
        </is>
      </c>
      <c r="Q1" s="19" t="inlineStr">
        <is>
          <t>Status</t>
        </is>
      </c>
      <c r="R1" s="19" t="inlineStr">
        <is>
          <t>Hypo_Entry_Price</t>
        </is>
      </c>
      <c r="S1" s="19" t="inlineStr">
        <is>
          <t>Hypo_Current_Price</t>
        </is>
      </c>
      <c r="T1" s="19" t="inlineStr">
        <is>
          <t>Hypo_PnL_%</t>
        </is>
      </c>
      <c r="U1" s="19" t="inlineStr">
        <is>
          <t>Actual_Taken</t>
        </is>
      </c>
      <c r="V1" s="19" t="inlineStr">
        <is>
          <t>Actual_Entry</t>
        </is>
      </c>
      <c r="W1" s="19" t="inlineStr">
        <is>
          <t>Actual_Exit</t>
        </is>
      </c>
      <c r="X1" s="19" t="inlineStr">
        <is>
          <t>Actual_PnL_%</t>
        </is>
      </c>
      <c r="Y1" s="19" t="inlineStr">
        <is>
          <t>Note</t>
        </is>
      </c>
    </row>
    <row r="2">
      <c r="A2" s="20" t="inlineStr">
        <is>
          <t>H001</t>
        </is>
      </c>
      <c r="B2" s="20" t="inlineStr">
        <is>
          <t>2026-04-15</t>
        </is>
      </c>
      <c r="C2" s="20" t="inlineStr">
        <is>
          <t>trade-rec-2026-04-15 v3</t>
        </is>
      </c>
      <c r="D2" s="20" t="inlineStr">
        <is>
          <t>EWY</t>
        </is>
      </c>
      <c r="E2" s="20" t="inlineStr">
        <is>
          <t>Long</t>
        </is>
      </c>
      <c r="F2" s="20" t="n">
        <v>1</v>
      </c>
      <c r="G2" s="20" t="n">
        <v>1</v>
      </c>
      <c r="H2" s="20" t="n">
        <v>1</v>
      </c>
      <c r="I2" s="20" t="n">
        <v>0</v>
      </c>
      <c r="J2" s="20" t="n">
        <v>3</v>
      </c>
      <c r="K2" s="21" t="n">
        <v>146</v>
      </c>
      <c r="L2" s="21" t="n">
        <v>133</v>
      </c>
      <c r="M2" s="21" t="n">
        <v>156</v>
      </c>
      <c r="N2" s="21" t="n">
        <v>166</v>
      </c>
      <c r="O2" s="20" t="inlineStr">
        <is>
          <t>2026-05-13</t>
        </is>
      </c>
      <c r="P2" s="22" t="n">
        <v>0.015</v>
      </c>
      <c r="Q2" s="23" t="inlineStr">
        <is>
          <t>OPEN</t>
        </is>
      </c>
      <c r="R2" s="21" t="n">
        <v>146</v>
      </c>
      <c r="S2" s="21" t="n">
        <v>152.33</v>
      </c>
      <c r="T2" s="24">
        <f>(S2-R2)/R2</f>
        <v/>
      </c>
      <c r="U2" s="20" t="inlineStr">
        <is>
          <t>YES</t>
        </is>
      </c>
      <c r="V2" s="21" t="n">
        <v>144.1</v>
      </c>
      <c r="W2" s="21" t="n">
        <v>145.39</v>
      </c>
      <c r="X2" s="22" t="n">
        <v>0.0092</v>
      </c>
      <c r="Y2" s="25" t="inlineStr">
        <is>
          <t>Actual stop moved too tight (~breakeven). Methodology stop $133 never hit. Hypo at rec midpoint $146 still open. Current $152.33 (Apr-21). Hypo +4.34% vs actual +0.92%.</t>
        </is>
      </c>
    </row>
    <row r="3">
      <c r="A3" s="20" t="inlineStr">
        <is>
          <t>H002</t>
        </is>
      </c>
      <c r="B3" s="20" t="inlineStr">
        <is>
          <t>2026-04-15</t>
        </is>
      </c>
      <c r="C3" s="20" t="inlineStr">
        <is>
          <t>trade-rec-2026-04-15 v2-&gt;v3</t>
        </is>
      </c>
      <c r="D3" s="20" t="inlineStr">
        <is>
          <t>TSM</t>
        </is>
      </c>
      <c r="E3" s="20" t="inlineStr">
        <is>
          <t>Long</t>
        </is>
      </c>
      <c r="F3" s="20" t="n">
        <v>1</v>
      </c>
      <c r="G3" s="20" t="n">
        <v>1</v>
      </c>
      <c r="H3" s="20" t="n">
        <v>1</v>
      </c>
      <c r="I3" s="20" t="n">
        <v>0</v>
      </c>
      <c r="J3" s="20" t="n">
        <v>3</v>
      </c>
      <c r="K3" s="20" t="n"/>
      <c r="L3" s="20" t="n"/>
      <c r="M3" s="20" t="n"/>
      <c r="N3" s="20" t="n"/>
      <c r="O3" s="20" t="n"/>
      <c r="P3" s="22" t="n">
        <v>0.01</v>
      </c>
      <c r="Q3" s="26" t="inlineStr">
        <is>
          <t>VOIDED</t>
        </is>
      </c>
      <c r="R3" s="20" t="n"/>
      <c r="S3" s="20" t="n"/>
      <c r="T3" s="20" t="n"/>
      <c r="U3" s="20" t="inlineStr">
        <is>
          <t>NO</t>
        </is>
      </c>
      <c r="V3" s="20" t="n"/>
      <c r="W3" s="20" t="n"/>
      <c r="X3" s="20" t="n"/>
      <c r="Y3" s="25" t="inlineStr">
        <is>
          <t>Promoted in v2 (residual +20.6%), de-promoted in v3 same session (residual flipped to -19.78%; T: +1-&gt;-1). No actionable entry window. Rec note: "P002 in the hypo-ledger must be annotated."</t>
        </is>
      </c>
    </row>
    <row r="4">
      <c r="A4" s="20" t="inlineStr">
        <is>
          <t>H003</t>
        </is>
      </c>
      <c r="B4" s="20" t="inlineStr">
        <is>
          <t>2026-04-15</t>
        </is>
      </c>
      <c r="C4" s="20" t="inlineStr">
        <is>
          <t>trade-rec-2026-04-15 v3</t>
        </is>
      </c>
      <c r="D4" s="20" t="inlineStr">
        <is>
          <t>INTC</t>
        </is>
      </c>
      <c r="E4" s="20" t="inlineStr">
        <is>
          <t>Long</t>
        </is>
      </c>
      <c r="F4" s="20" t="n">
        <v>1</v>
      </c>
      <c r="G4" s="20" t="n">
        <v>1</v>
      </c>
      <c r="H4" s="20" t="n">
        <v>1</v>
      </c>
      <c r="I4" s="20" t="n">
        <v>0</v>
      </c>
      <c r="J4" s="20" t="n">
        <v>3</v>
      </c>
      <c r="K4" s="21" t="n">
        <v>62</v>
      </c>
      <c r="L4" s="21" t="n">
        <v>56</v>
      </c>
      <c r="M4" s="21" t="n">
        <v>70</v>
      </c>
      <c r="N4" s="21" t="n">
        <v>77</v>
      </c>
      <c r="O4" s="20" t="inlineStr">
        <is>
          <t>2026-05-13</t>
        </is>
      </c>
      <c r="P4" s="22" t="n">
        <v>0.01</v>
      </c>
      <c r="Q4" s="23" t="inlineStr">
        <is>
          <t>OPEN</t>
        </is>
      </c>
      <c r="R4" s="21" t="n">
        <v>62</v>
      </c>
      <c r="S4" s="21" t="n">
        <v>68</v>
      </c>
      <c r="T4" s="24">
        <f>(S4-R4)/R4</f>
        <v/>
      </c>
      <c r="U4" s="20" t="inlineStr">
        <is>
          <t>YES</t>
        </is>
      </c>
      <c r="V4" s="21" t="n">
        <v>64.68000000000001</v>
      </c>
      <c r="W4" s="21" t="n">
        <v>68.26000000000001</v>
      </c>
      <c r="X4" s="22" t="n">
        <v>0.0209</v>
      </c>
      <c r="Y4" s="25" t="inlineStr">
        <is>
          <t>Actual exited early Apr-19 at $68.26 before Apr-23 earnings. Hypo at rec midpoint $62 still open (stop $56, inv May-13). Current ~$68 -&gt; hypo +9.68% vs actual +2.09%.</t>
        </is>
      </c>
    </row>
    <row r="5">
      <c r="A5" s="20" t="inlineStr">
        <is>
          <t>H004</t>
        </is>
      </c>
      <c r="B5" s="20" t="inlineStr">
        <is>
          <t>2026-04-16</t>
        </is>
      </c>
      <c r="C5" s="20" t="inlineStr">
        <is>
          <t>trade-rec-2026-04-16 v3</t>
        </is>
      </c>
      <c r="D5" s="20" t="inlineStr">
        <is>
          <t>Gold</t>
        </is>
      </c>
      <c r="E5" s="20" t="inlineStr">
        <is>
          <t>Long</t>
        </is>
      </c>
      <c r="F5" s="20" t="n">
        <v>1</v>
      </c>
      <c r="G5" s="20" t="n">
        <v>1</v>
      </c>
      <c r="H5" s="20" t="n">
        <v>1</v>
      </c>
      <c r="I5" s="20" t="n">
        <v>0</v>
      </c>
      <c r="J5" s="20" t="n">
        <v>3</v>
      </c>
      <c r="K5" s="21" t="n">
        <v>4830</v>
      </c>
      <c r="L5" s="21" t="n">
        <v>4640</v>
      </c>
      <c r="M5" s="21" t="n">
        <v>4990</v>
      </c>
      <c r="N5" s="21" t="n">
        <v>5140</v>
      </c>
      <c r="O5" s="20" t="inlineStr">
        <is>
          <t>2026-05-14</t>
        </is>
      </c>
      <c r="P5" s="22" t="n">
        <v>0.0075</v>
      </c>
      <c r="Q5" s="23" t="inlineStr">
        <is>
          <t>OPEN</t>
        </is>
      </c>
      <c r="R5" s="21" t="n">
        <v>4830</v>
      </c>
      <c r="S5" s="21" t="n">
        <v>4808</v>
      </c>
      <c r="T5" s="24">
        <f>(S5-R5)/R5</f>
        <v/>
      </c>
      <c r="U5" s="20" t="inlineStr">
        <is>
          <t>YES</t>
        </is>
      </c>
      <c r="V5" s="21" t="n">
        <v>4780.69</v>
      </c>
      <c r="W5" s="21" t="n">
        <v>4823.65</v>
      </c>
      <c r="X5" s="22" t="n">
        <v>0.008</v>
      </c>
      <c r="Y5" s="25" t="inlineStr">
        <is>
          <t>Actual exited early Apr-18 before Iran ceasefire binary (Apr-22). Hypo at zone midpoint $4,830. Current $4,808 (-0.46%). Stop $4,640 not hit; inv May-14. Actual +0.80%.</t>
        </is>
      </c>
    </row>
    <row r="6">
      <c r="A6" s="20" t="inlineStr">
        <is>
          <t>H005</t>
        </is>
      </c>
      <c r="B6" s="20" t="inlineStr">
        <is>
          <t>2026-04-16</t>
        </is>
      </c>
      <c r="C6" s="20" t="inlineStr">
        <is>
          <t>trade-rec-2026-04-16 v3</t>
        </is>
      </c>
      <c r="D6" s="20" t="inlineStr">
        <is>
          <t>QQQ</t>
        </is>
      </c>
      <c r="E6" s="20" t="inlineStr">
        <is>
          <t>Long</t>
        </is>
      </c>
      <c r="F6" s="20" t="n">
        <v>1</v>
      </c>
      <c r="G6" s="20" t="n">
        <v>1</v>
      </c>
      <c r="H6" s="20" t="n">
        <v>1</v>
      </c>
      <c r="I6" s="20" t="n">
        <v>1</v>
      </c>
      <c r="J6" s="20" t="n">
        <v>4</v>
      </c>
      <c r="K6" s="21" t="n">
        <v>637.4</v>
      </c>
      <c r="L6" s="21" t="n">
        <v>597</v>
      </c>
      <c r="M6" s="20" t="n"/>
      <c r="N6" s="20" t="n"/>
      <c r="O6" s="20" t="inlineStr">
        <is>
          <t>2026-05-14</t>
        </is>
      </c>
      <c r="P6" s="22" t="n">
        <v>0.005</v>
      </c>
      <c r="Q6" s="27" t="inlineStr">
        <is>
          <t>FLAGGED</t>
        </is>
      </c>
      <c r="R6" s="21" t="n">
        <v>637.4</v>
      </c>
      <c r="S6" s="21" t="n">
        <v>646.79</v>
      </c>
      <c r="T6" s="24">
        <f>(S6-R6)/R6</f>
        <v/>
      </c>
      <c r="U6" s="20" t="inlineStr">
        <is>
          <t>YES</t>
        </is>
      </c>
      <c r="V6" s="21" t="n">
        <v>640.09</v>
      </c>
      <c r="W6" s="21" t="n">
        <v>643.02</v>
      </c>
      <c r="X6" s="22" t="n">
        <v>0.0113</v>
      </c>
      <c r="Y6" s="25" t="inlineStr">
        <is>
          <t>Flagged Sum+4 in rec but not formally promoted (correlation gate cautionary). Gerald entered Apr-17 at avg $640.09; exited Apr-19 at $643.02 (+1.13%). Hypo at Apr-16 brief price $637.40, current $646.79 (+1.47%). Stop $597 not hit.</t>
        </is>
      </c>
    </row>
    <row r="7">
      <c r="A7" s="20" t="inlineStr">
        <is>
          <t>H006</t>
        </is>
      </c>
      <c r="B7" s="20" t="inlineStr">
        <is>
          <t>2026-04-20</t>
        </is>
      </c>
      <c r="C7" s="20" t="inlineStr">
        <is>
          <t>trade-rec-2026-04-20 v3</t>
        </is>
      </c>
      <c r="D7" s="20" t="inlineStr">
        <is>
          <t>SPY</t>
        </is>
      </c>
      <c r="E7" s="20" t="inlineStr">
        <is>
          <t>Long</t>
        </is>
      </c>
      <c r="F7" s="20" t="n">
        <v>1</v>
      </c>
      <c r="G7" s="20" t="n">
        <v>1</v>
      </c>
      <c r="H7" s="20" t="n">
        <v>0</v>
      </c>
      <c r="I7" s="20" t="n">
        <v>1</v>
      </c>
      <c r="J7" s="20" t="n">
        <v>3</v>
      </c>
      <c r="K7" s="21" t="n">
        <v>710.14</v>
      </c>
      <c r="L7" s="21" t="n">
        <v>696</v>
      </c>
      <c r="M7" s="21" t="n">
        <v>720</v>
      </c>
      <c r="N7" s="21" t="n">
        <v>730</v>
      </c>
      <c r="O7" s="20" t="inlineStr">
        <is>
          <t>2026-05-13</t>
        </is>
      </c>
      <c r="P7" s="22" t="n">
        <v>0.01</v>
      </c>
      <c r="Q7" s="23" t="inlineStr">
        <is>
          <t>OPEN</t>
        </is>
      </c>
      <c r="R7" s="21" t="n">
        <v>710.14</v>
      </c>
      <c r="S7" s="21" t="n">
        <v>706</v>
      </c>
      <c r="T7" s="24">
        <f>(S7-R7)/R7</f>
        <v/>
      </c>
      <c r="U7" s="20" t="inlineStr">
        <is>
          <t>YES</t>
        </is>
      </c>
      <c r="V7" s="21" t="n">
        <v>710.17</v>
      </c>
      <c r="W7" s="20" t="n"/>
      <c r="X7" s="20" t="n"/>
      <c r="Y7" s="25" t="inlineStr">
        <is>
          <t>Actual filled avg $710.17 (4 tranches Apr-21). Open. Current ~$706 (Apr-22 09:23) -&gt; hypo -0.58%. Stop $696 not hit. Half-size: C=0 + IC z MISSING at rec time + FOMC Apr-28 tail.</t>
        </is>
      </c>
    </row>
    <row r="8">
      <c r="A8" s="20" t="inlineStr">
        <is>
          <t>H007</t>
        </is>
      </c>
      <c r="B8" s="20" t="inlineStr">
        <is>
          <t>2026-04-21</t>
        </is>
      </c>
      <c r="C8" s="20" t="inlineStr">
        <is>
          <t>trade-rec-2026-04-21 v2</t>
        </is>
      </c>
      <c r="D8" s="20" t="inlineStr">
        <is>
          <t>EWJ</t>
        </is>
      </c>
      <c r="E8" s="20" t="inlineStr">
        <is>
          <t>Long</t>
        </is>
      </c>
      <c r="F8" s="20" t="n">
        <v>1</v>
      </c>
      <c r="G8" s="20" t="n">
        <v>1</v>
      </c>
      <c r="H8" s="20" t="n">
        <v>0</v>
      </c>
      <c r="I8" s="20" t="n">
        <v>1</v>
      </c>
      <c r="J8" s="20" t="n">
        <v>3</v>
      </c>
      <c r="K8" s="21" t="n">
        <v>90.23999999999999</v>
      </c>
      <c r="L8" s="21" t="n">
        <v>86</v>
      </c>
      <c r="M8" s="21" t="n">
        <v>95</v>
      </c>
      <c r="N8" s="21" t="n">
        <v>98</v>
      </c>
      <c r="O8" s="20" t="inlineStr">
        <is>
          <t>2026-06-30</t>
        </is>
      </c>
      <c r="P8" s="22" t="n">
        <v>0.0075</v>
      </c>
      <c r="Q8" s="23" t="inlineStr">
        <is>
          <t>OPEN</t>
        </is>
      </c>
      <c r="R8" s="21" t="n">
        <v>90.23999999999999</v>
      </c>
      <c r="S8" s="21" t="n">
        <v>89.18000000000001</v>
      </c>
      <c r="T8" s="24">
        <f>(S8-R8)/R8</f>
        <v/>
      </c>
      <c r="U8" s="20" t="inlineStr">
        <is>
          <t>YES</t>
        </is>
      </c>
      <c r="V8" s="21" t="n">
        <v>88.44</v>
      </c>
      <c r="W8" s="20" t="n"/>
      <c r="X8" s="20" t="n"/>
      <c r="Y8" s="25" t="inlineStr">
        <is>
          <t>Actual filled avg $88.44 (~2.2% below rec estimate $90.24). Open. Current ~$89.18 (Apr-22) -&gt; hypo -1.17% / actual +0.84%. Stop $86 not hit; inv Jun-30.</t>
        </is>
      </c>
    </row>
    <row r="9">
      <c r="A9" s="20" t="inlineStr">
        <is>
          <t>H008</t>
        </is>
      </c>
      <c r="B9" s="20" t="inlineStr">
        <is>
          <t>2026-04-21</t>
        </is>
      </c>
      <c r="C9" s="20" t="inlineStr">
        <is>
          <t>trade-rec-2026-04-21 v2</t>
        </is>
      </c>
      <c r="D9" s="20" t="inlineStr">
        <is>
          <t>INTC</t>
        </is>
      </c>
      <c r="E9" s="20" t="inlineStr">
        <is>
          <t>Long</t>
        </is>
      </c>
      <c r="F9" s="20" t="n">
        <v>1</v>
      </c>
      <c r="G9" s="20" t="n">
        <v>1</v>
      </c>
      <c r="H9" s="20" t="n">
        <v>1</v>
      </c>
      <c r="I9" s="20" t="n">
        <v>1</v>
      </c>
      <c r="J9" s="20" t="n">
        <v>4</v>
      </c>
      <c r="K9" s="21" t="n">
        <v>69</v>
      </c>
      <c r="L9" s="21" t="n">
        <v>64</v>
      </c>
      <c r="M9" s="21" t="n">
        <v>75</v>
      </c>
      <c r="N9" s="21" t="n">
        <v>82</v>
      </c>
      <c r="O9" s="20" t="inlineStr">
        <is>
          <t>2026-06-23</t>
        </is>
      </c>
      <c r="P9" s="22" t="n">
        <v>0.01</v>
      </c>
      <c r="Q9" s="28" t="inlineStr">
        <is>
          <t>PENDING</t>
        </is>
      </c>
      <c r="R9" s="20" t="n"/>
      <c r="S9" s="20" t="n"/>
      <c r="T9" s="20" t="n"/>
      <c r="U9" s="20" t="inlineStr">
        <is>
          <t>PENDING</t>
        </is>
      </c>
      <c r="V9" s="20" t="n"/>
      <c r="W9" s="20" t="n"/>
      <c r="X9" s="20" t="n"/>
      <c r="Y9" s="25" t="inlineStr">
        <is>
          <t>P013. Entry AFTER Apr-23 AC beat confirmation (~$68-72 limit). Sum+4 -- highest conviction. Terafab foundry validation thesis. Entry gate: INTC beat + Terafab milestone. Inv 2026-06-23.</t>
        </is>
      </c>
    </row>
    <row r="10">
      <c r="A10" s="20" t="inlineStr">
        <is>
          <t>H009</t>
        </is>
      </c>
      <c r="B10" s="20" t="inlineStr">
        <is>
          <t>2026-04-21</t>
        </is>
      </c>
      <c r="C10" s="20" t="inlineStr">
        <is>
          <t>trade-rec-2026-04-21 v2</t>
        </is>
      </c>
      <c r="D10" s="20" t="inlineStr">
        <is>
          <t>AAPL</t>
        </is>
      </c>
      <c r="E10" s="20" t="inlineStr">
        <is>
          <t>Long</t>
        </is>
      </c>
      <c r="F10" s="20" t="n">
        <v>1</v>
      </c>
      <c r="G10" s="20" t="n">
        <v>1</v>
      </c>
      <c r="H10" s="20" t="n">
        <v>0</v>
      </c>
      <c r="I10" s="20" t="n">
        <v>1</v>
      </c>
      <c r="J10" s="20" t="n">
        <v>3</v>
      </c>
      <c r="K10" s="21" t="n">
        <v>272.5</v>
      </c>
      <c r="L10" s="21" t="n">
        <v>265.75</v>
      </c>
      <c r="M10" s="21" t="n">
        <v>280</v>
      </c>
      <c r="N10" s="21" t="n">
        <v>290</v>
      </c>
      <c r="O10" s="20" t="inlineStr">
        <is>
          <t>2026-04-30</t>
        </is>
      </c>
      <c r="P10" s="22" t="n">
        <v>0.0075</v>
      </c>
      <c r="Q10" s="28" t="inlineStr">
        <is>
          <t>PENDING</t>
        </is>
      </c>
      <c r="R10" s="20" t="n"/>
      <c r="S10" s="20" t="n"/>
      <c r="T10" s="20" t="n"/>
      <c r="U10" s="20" t="inlineStr">
        <is>
          <t>PENDING</t>
        </is>
      </c>
      <c r="V10" s="20" t="n"/>
      <c r="W10" s="20" t="n"/>
      <c r="X10" s="20" t="n"/>
      <c r="Y10" s="25" t="inlineStr">
        <is>
          <t>P014. Limit ~$271-274. Stop ~$264-267 (2x ATR). HARD time-stop 2026-04-30 -- MUST exit before May-1 earnings. C=0; edge is structural momentum only. In zone at $273 (Apr-22).</t>
        </is>
      </c>
    </row>
    <row r="11">
      <c r="A11" s="20" t="inlineStr">
        <is>
          <t>H010</t>
        </is>
      </c>
      <c r="B11" s="20" t="inlineStr">
        <is>
          <t>2026-04-21</t>
        </is>
      </c>
      <c r="C11" s="20" t="inlineStr">
        <is>
          <t>trade-rec-2026-04-21 v2</t>
        </is>
      </c>
      <c r="D11" s="20" t="inlineStr">
        <is>
          <t>GOOGL</t>
        </is>
      </c>
      <c r="E11" s="20" t="inlineStr">
        <is>
          <t>Long</t>
        </is>
      </c>
      <c r="F11" s="20" t="n">
        <v>1</v>
      </c>
      <c r="G11" s="20" t="n">
        <v>0</v>
      </c>
      <c r="H11" s="20" t="n">
        <v>1</v>
      </c>
      <c r="I11" s="20" t="n">
        <v>1</v>
      </c>
      <c r="J11" s="20" t="n">
        <v>3</v>
      </c>
      <c r="K11" s="21" t="n">
        <v>335.5</v>
      </c>
      <c r="L11" s="21" t="n">
        <v>317</v>
      </c>
      <c r="M11" s="21" t="n">
        <v>355</v>
      </c>
      <c r="N11" s="21" t="n">
        <v>375</v>
      </c>
      <c r="O11" s="20" t="inlineStr">
        <is>
          <t>2026-05-15</t>
        </is>
      </c>
      <c r="P11" s="22" t="n">
        <v>0.0075</v>
      </c>
      <c r="Q11" s="28" t="inlineStr">
        <is>
          <t>PENDING</t>
        </is>
      </c>
      <c r="R11" s="20" t="n"/>
      <c r="S11" s="20" t="n"/>
      <c r="T11" s="20" t="n"/>
      <c r="U11" s="20" t="inlineStr">
        <is>
          <t>PENDING</t>
        </is>
      </c>
      <c r="V11" s="20" t="n"/>
      <c r="W11" s="20" t="n"/>
      <c r="X11" s="20" t="n"/>
      <c r="Y11" s="25" t="inlineStr">
        <is>
          <t>P015. Entry AFTER Apr-23 UTC+8 beat confirmation (~$333-340 limit). T=0 (residual -0.80%, within +/-2% zero band). Do not chase gap. Inv 2026-05-15. Contingent on beat: miss -&gt; no entry.</t>
        </is>
      </c>
    </row>
    <row r="13">
      <c r="A13" s="29" t="inlineStr">
        <is>
          <t>PERFORMANCE SUMMARY (auto-updated by signal-review)</t>
        </is>
      </c>
    </row>
    <row r="14">
      <c r="A14" s="30" t="inlineStr">
        <is>
          <t>Formally Promoted (OPEN+PENDING+FLAGGED)</t>
        </is>
      </c>
      <c r="B14" s="31">
        <f>COUNTIF(Q2:Q11,"OPEN")+COUNTIF(Q2:Q11,"PENDING")+COUNTIF(Q2:Q11,"FLAGGED")</f>
        <v/>
      </c>
    </row>
    <row r="15">
      <c r="A15" s="30" t="inlineStr">
        <is>
          <t>OPEN (marked-to-market)</t>
        </is>
      </c>
      <c r="B15" s="31">
        <f>COUNTIF(Q2:Q11,"OPEN")</f>
        <v/>
      </c>
    </row>
    <row r="16">
      <c r="A16" s="30" t="inlineStr">
        <is>
          <t>PENDING (entry trigger)</t>
        </is>
      </c>
      <c r="B16" s="31">
        <f>COUNTIF(Q2:Q11,"PENDING")</f>
        <v/>
      </c>
    </row>
    <row r="17">
      <c r="A17" s="30" t="inlineStr">
        <is>
          <t>VOIDED (de-promoted same session)</t>
        </is>
      </c>
      <c r="B17" s="31">
        <f>COUNTIF(Q2:Q11,"VOIDED")</f>
        <v/>
      </c>
    </row>
    <row r="18">
      <c r="A18" s="30" t="inlineStr">
        <is>
          <t>FLAGGED (Sum&gt;=3, not formally promoted)</t>
        </is>
      </c>
      <c r="B18" s="31">
        <f>COUNTIF(Q2:Q11,"FLAGGED")</f>
        <v/>
      </c>
    </row>
    <row r="19">
      <c r="A19" s="30" t="inlineStr">
        <is>
          <t>Hypo Avg PnL% -- OPEN signals</t>
        </is>
      </c>
      <c r="B19" s="32">
        <f>AVERAGEIF(Q2:Q11,"OPEN",T2:T11)</f>
        <v/>
      </c>
    </row>
    <row r="20">
      <c r="A20" s="30" t="inlineStr">
        <is>
          <t>Actual Avg PnL% -- closed YES</t>
        </is>
      </c>
      <c r="B20" s="32">
        <f>AVERAGEIFS(X2:X11,U2:U11,"YES",W2:W11,"&lt;&gt;"&amp;"")</f>
        <v/>
      </c>
    </row>
    <row r="21">
      <c r="A21" s="30" t="inlineStr">
        <is>
          <t>Last updated</t>
        </is>
      </c>
      <c r="B21" s="31">
        <f>TEXT(NOW(),"YYYY-MM-DD HH:MM UTC+8")</f>
        <v/>
      </c>
    </row>
  </sheetData>
  <mergeCells count="1">
    <mergeCell ref="A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2026-04-15T14:51:13Z</dcterms:created>
  <dcterms:modified xsi:type="dcterms:W3CDTF">2026-04-22T03:21:04Z</dcterms:modified>
  <cp:lastModifiedBy>Gerald Yiu</cp:lastModifiedBy>
  <cp:revision>0</cp:revision>
</cp:coreProperties>
</file>