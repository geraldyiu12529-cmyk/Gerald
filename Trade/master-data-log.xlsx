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6" activeTab="1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:mm:ss"/>
    <numFmt numFmtId="166" formatCode="0.00%;\(0.00%\);&quot;-&quot;"/>
    <numFmt numFmtId="167" formatCode="yyyy-mm-dd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FFFFFFFF"/>
      <sz val="10"/>
    </font>
    <font>
      <name val="Arial"/>
      <sz val="10"/>
    </font>
    <font>
      <name val="Arial"/>
      <color rgb="FF008000"/>
      <sz val="10"/>
    </font>
    <font>
      <name val="Arial"/>
      <b val="1"/>
      <sz val="11"/>
    </font>
    <font>
      <name val="Arial"/>
      <b val="1"/>
      <sz val="10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D6D6D6"/>
        <bgColor rgb="FFD6D6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2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3" fillId="0" borderId="0" pivotButton="0" quotePrefix="0" xfId="0"/>
    <xf numFmtId="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8"/>
  <sheetViews>
    <sheetView zoomScaleNormal="100" workbookViewId="0">
      <pane xSplit="1" ySplit="1" topLeftCell="BO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77"/>
  </cols>
  <sheetData>
    <row r="1" ht="35.1" customHeight="1" s="33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33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33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2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  <row r="8">
      <c r="A8" s="34" t="n">
        <v>46135</v>
      </c>
      <c r="B8" t="n">
        <v>19.62</v>
      </c>
      <c r="C8" t="n">
        <v>21.24</v>
      </c>
      <c r="D8" t="n">
        <v>0.9237</v>
      </c>
      <c r="E8" t="n">
        <v>69.88</v>
      </c>
      <c r="F8" t="n">
        <v>98.78</v>
      </c>
      <c r="G8" t="n">
        <v>285</v>
      </c>
      <c r="H8" t="n">
        <v>-0.5</v>
      </c>
      <c r="I8" t="n">
        <v>0.1295</v>
      </c>
      <c r="J8" t="n">
        <v>1.65</v>
      </c>
      <c r="L8" t="n">
        <v>4.294</v>
      </c>
      <c r="S8" t="n">
        <v>711.21</v>
      </c>
      <c r="T8" t="n">
        <v>655.11</v>
      </c>
      <c r="U8" t="n">
        <v>87.76000000000001</v>
      </c>
      <c r="V8" t="n">
        <v>155.8</v>
      </c>
      <c r="W8" t="n">
        <v>202.5</v>
      </c>
      <c r="X8" t="n">
        <v>387.51</v>
      </c>
      <c r="Y8" t="n">
        <v>387.44</v>
      </c>
      <c r="Z8" t="n">
        <v>273.17</v>
      </c>
      <c r="AA8" t="n">
        <v>339.32</v>
      </c>
      <c r="AB8" t="n">
        <v>255.36</v>
      </c>
      <c r="AC8" t="n">
        <v>674.72</v>
      </c>
      <c r="AD8" t="n">
        <v>65.27</v>
      </c>
      <c r="AE8" t="n">
        <v>487.48</v>
      </c>
      <c r="AF8" t="n">
        <v>51.22</v>
      </c>
      <c r="AG8" t="n">
        <v>152.62</v>
      </c>
      <c r="AH8" t="n">
        <v>389.1</v>
      </c>
      <c r="AI8" t="n">
        <v>-1</v>
      </c>
      <c r="AJ8" t="n">
        <v>-9.119999999999999</v>
      </c>
      <c r="AK8" t="n">
        <v>1</v>
      </c>
      <c r="AL8" t="n">
        <v>4.68</v>
      </c>
      <c r="AM8" t="n">
        <v>-0.8</v>
      </c>
      <c r="AN8" t="n">
        <v>1.39</v>
      </c>
      <c r="AO8" t="n">
        <v>0.75</v>
      </c>
      <c r="AP8" t="n">
        <v>13.89</v>
      </c>
      <c r="AQ8" t="n">
        <v>15.63</v>
      </c>
      <c r="AR8" t="n">
        <v>-5.25</v>
      </c>
      <c r="AS8" t="n">
        <v>-35.62</v>
      </c>
      <c r="AT8" t="n">
        <v>2.38</v>
      </c>
      <c r="AU8" t="n">
        <v>97.16</v>
      </c>
      <c r="AV8" t="n">
        <v>93.95</v>
      </c>
      <c r="AW8" t="n">
        <v>4717.3</v>
      </c>
      <c r="AX8" t="n">
        <v>74.77</v>
      </c>
      <c r="AY8" t="n">
        <v>6.035</v>
      </c>
      <c r="AZ8" t="n">
        <v>2019.8</v>
      </c>
      <c r="BA8" t="n">
        <v>1479</v>
      </c>
      <c r="BB8" t="n">
        <v>0.95</v>
      </c>
      <c r="BC8" t="n">
        <v>2.95</v>
      </c>
      <c r="BL8" t="n">
        <v>1.1684</v>
      </c>
      <c r="BM8" t="n">
        <v>159.7</v>
      </c>
      <c r="BN8" t="n">
        <v>77536</v>
      </c>
      <c r="BO8" t="n">
        <v>2322</v>
      </c>
      <c r="BP8" t="n">
        <v>883</v>
      </c>
      <c r="BQ8" t="n">
        <v>493157</v>
      </c>
      <c r="BS8" t="n">
        <v>331.9</v>
      </c>
      <c r="BX8" t="n">
        <v>3</v>
      </c>
      <c r="BY8" t="inlineStr">
        <is>
          <t>2026-04-23/market-brief-2026-04-23.md v1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33" min="1" max="1"/>
    <col width="10" customWidth="1" style="33" min="2" max="2"/>
    <col width="21.3984375" customWidth="1" style="33" min="3" max="3"/>
    <col width="8" customWidth="1" style="33" min="4" max="4"/>
    <col width="12" customWidth="1" style="33" min="5" max="5"/>
    <col width="8" customWidth="1" style="33" min="6" max="6"/>
    <col width="4" customWidth="1" style="33" min="7" max="10"/>
    <col width="5" customWidth="1" style="33" min="11" max="11"/>
    <col width="12" customWidth="1" style="33" min="12" max="12"/>
    <col width="10" customWidth="1" style="33" min="13" max="13"/>
    <col width="12" customWidth="1" style="33" min="14" max="15"/>
    <col width="30" customWidth="1" style="33" min="16" max="16"/>
    <col width="12" customWidth="1" style="33" min="17" max="17"/>
    <col width="10" customWidth="1" style="33" min="18" max="18"/>
    <col width="35" customWidth="1" style="33" min="19" max="19"/>
    <col width="10" customWidth="1" style="33" min="20" max="20"/>
    <col width="30" customWidth="1" style="33" min="21" max="21"/>
    <col width="12" customWidth="1" style="33" min="22" max="24"/>
    <col width="16.73046875" customWidth="1" style="33" min="25" max="25"/>
    <col width="10" customWidth="1" style="33" min="26" max="26"/>
    <col width="8" customWidth="1" style="33" min="27" max="28"/>
    <col width="14" customWidth="1" style="33" min="29" max="29"/>
    <col width="10" customWidth="1" style="33" min="30" max="30"/>
    <col width="30" customWidth="1" style="33" min="31" max="31"/>
    <col width="40" customWidth="1" style="33" min="32" max="32"/>
  </cols>
  <sheetData>
    <row r="1" ht="35.1" customHeight="1" s="33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33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33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33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33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33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33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33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33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33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33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33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33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33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33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33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33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33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3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2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2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2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2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U54" t="inlineStr">
        <is>
          <t>Post-rally entry risk</t>
        </is>
      </c>
      <c r="V54" t="inlineStr">
        <is>
          <t>NO</t>
        </is>
      </c>
      <c r="W54" t="inlineStr">
        <is>
          <t>VOIDED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 | VOIDED 2026-04-24: INTC gapped to ~$80 post Q1 earnings beat, far above $68-72 entry zone (+11-17% above zone top, +22% above $65.27 pre-ref, beyond the ±9.87% options-implied move). Classified post-rally entry risk per HypoLedger FLAGGED criteria. No position taken. Chasing would break stop math (2x ATR stop ~$74-76 collides with target $78-82). Alt: controlled pullback to $72-74 zone within 3-5 sessions at 0.5% half-size, stop $68.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2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YES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 | FILLED 2026-04-23 20:45 UTC+8: T1 398.22 USDT @ 274.63 (limit), T2 447.62 USDT @ 274.61 (limit). Total 845.84 USDT, avg 274.62, ~3.080 units. Stop 266.50. Actual risk 0.63% vs rec 0.75% (slight undersize). Entry at top of $271-274 zone.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2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2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2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  <row r="59">
      <c r="A59" t="inlineStr">
        <is>
          <t>P016</t>
        </is>
      </c>
      <c r="B59" t="inlineStr">
        <is>
          <t>Promoted</t>
        </is>
      </c>
      <c r="C59" s="34" t="n">
        <v>46134</v>
      </c>
      <c r="D59" t="inlineStr">
        <is>
          <t>Brent</t>
        </is>
      </c>
      <c r="E59" t="inlineStr">
        <is>
          <t>Commodity</t>
        </is>
      </c>
      <c r="F59" t="inlineStr">
        <is>
          <t>Long</t>
        </is>
      </c>
      <c r="G59" t="n">
        <v>1</v>
      </c>
      <c r="H59" t="n">
        <v>1</v>
      </c>
      <c r="I59" t="n">
        <v>0</v>
      </c>
      <c r="J59" t="n">
        <v>1</v>
      </c>
      <c r="K59" t="n">
        <v>3</v>
      </c>
      <c r="L59" t="n">
        <v>94.25</v>
      </c>
      <c r="M59" t="n">
        <v>90.5</v>
      </c>
      <c r="N59" t="n">
        <v>98</v>
      </c>
      <c r="O59" t="n">
        <v>102</v>
      </c>
      <c r="P59" t="inlineStr">
        <is>
          <t>Iran deal confirmed -&gt; Brent &lt;$88; Hormuz re-opens shipping &gt;70% normal within 10d</t>
        </is>
      </c>
      <c r="Q59" s="34" t="n">
        <v>46164</v>
      </c>
      <c r="R59" t="n">
        <v>19.1</v>
      </c>
      <c r="S59" t="inlineStr">
        <is>
          <t>RISK-ON (FRAGILE) / GEOPOLITICAL-BINARY - CEASEFIRE EXTENDED, HORMUZ BLOCKED</t>
        </is>
      </c>
      <c r="V59" t="inlineStr">
        <is>
          <t>YES</t>
        </is>
      </c>
      <c r="W59" t="inlineStr">
        <is>
          <t>OPEN</t>
        </is>
      </c>
      <c r="AE59" t="inlineStr">
        <is>
          <t>2026-04-22/trade-rec-2026-04-22.md</t>
        </is>
      </c>
      <c r="AF59" t="inlineStr">
        <is>
          <t>Commodity sleeve CONFIRMED ON first time (V034 GSG 31.75 &gt; 10m-SMA 25.35). Primary commodity promotion post-gate. Size 0.75% (corr+binary haircut + TSLA earnings tonight cross-asset risk + FOMC Apr-28 tail). PARTIAL checklist #6 (C=0, structural edge only) - same precedent as P009 SPY half-size. | FILLED 2026-04-22 21:33:20 UTC+8 @ 95.13 limit/buy (BZUSDT Perp, 1,006.48 USDT, ~10.58 units). Fill $0.63 above upper rec range $94.50. Actual fill captured here; Entry_Price 94.25 preserved as signal-time rec price. | SIZE REDUCED 2026-04-22 22:27 UTC+8 -- sold 147.21 USDT @ 94.97 market reduce-only (BZUSDT Perp). Remaining: 859.27 USDT (~9.03 units). Reason: overexposure correction. Heat 3.09% -&gt; 2.91%.</t>
        </is>
      </c>
      <c r="AG59" t="inlineStr">
        <is>
          <t>Equity:ON Intl:ON Commodity:ON Crypto:OFF</t>
        </is>
      </c>
      <c r="AH59" t="inlineStr">
        <is>
          <t>CapitalExpansion(+1.65)</t>
        </is>
      </c>
      <c r="AI59" t="inlineStr">
        <is>
          <t>n/a (commodity)</t>
        </is>
      </c>
      <c r="AJ59" t="inlineStr">
        <is>
          <t>n/a (commodity)</t>
        </is>
      </c>
    </row>
    <row r="60">
      <c r="A60" t="inlineStr">
        <is>
          <t>P017</t>
        </is>
      </c>
      <c r="B60" t="inlineStr">
        <is>
          <t>Promoted</t>
        </is>
      </c>
      <c r="C60" s="34" t="n">
        <v>46134</v>
      </c>
      <c r="D60" t="inlineStr">
        <is>
          <t>BTCUSDT</t>
        </is>
      </c>
      <c r="E60" t="inlineStr">
        <is>
          <t>Crypto</t>
        </is>
      </c>
      <c r="F60" t="inlineStr">
        <is>
          <t>Long</t>
        </is>
      </c>
      <c r="G60" t="n">
        <v>1</v>
      </c>
      <c r="H60" t="n">
        <v>1</v>
      </c>
      <c r="I60" t="n">
        <v>1</v>
      </c>
      <c r="J60" t="n">
        <v>0</v>
      </c>
      <c r="K60" t="n">
        <v>3</v>
      </c>
      <c r="P60" t="inlineStr">
        <is>
          <t>Active addr &lt;400k (structural S collapse); BTC &lt;$75k 5th support test break</t>
        </is>
      </c>
      <c r="R60" t="n">
        <v>19.1</v>
      </c>
      <c r="S60" t="inlineStr">
        <is>
          <t>RISK-ON (FRAGILE) / GEOPOLITICAL-BINARY - CEASEFIRE EXTENDED, HORMUZ BLOCKED</t>
        </is>
      </c>
      <c r="U60" t="inlineStr">
        <is>
          <t>OverlayGateOff (Crypto sleeve OFF - BTC $78,357 &lt; 10m-SMA $91,523)</t>
        </is>
      </c>
      <c r="V60" t="inlineStr">
        <is>
          <t>NO</t>
        </is>
      </c>
      <c r="W60" t="inlineStr">
        <is>
          <t>GATE-BLOCKED</t>
        </is>
      </c>
      <c r="AE60" t="inlineStr">
        <is>
          <t>2026-04-22/trade-rec-2026-04-22.md</t>
        </is>
      </c>
      <c r="AF60" t="inlineStr">
        <is>
          <t>S flipped 0-&gt;+1 on active addresses 478,903 &gt; 400K threshold. Crypto sleeve OFF per V035 Faber 10m-SMA. Next gate review May-01 (Apr-30 close). BTC needs +17.1% to $91.5k for gate ON.</t>
        </is>
      </c>
      <c r="AG60" t="inlineStr">
        <is>
          <t>Equity:ON Intl:ON Commodity:ON Crypto:OFF</t>
        </is>
      </c>
      <c r="AH60" t="inlineStr">
        <is>
          <t>CapitalExpansion(+1.65)</t>
        </is>
      </c>
    </row>
    <row r="61">
      <c r="A61" t="inlineStr">
        <is>
          <t>N042</t>
        </is>
      </c>
      <c r="B61" t="inlineStr">
        <is>
          <t>Near-Miss</t>
        </is>
      </c>
      <c r="C61" s="34" t="n">
        <v>46134</v>
      </c>
      <c r="D61" t="inlineStr">
        <is>
          <t>WTI</t>
        </is>
      </c>
      <c r="E61" t="inlineStr">
        <is>
          <t>Commodity</t>
        </is>
      </c>
      <c r="F61" t="inlineStr">
        <is>
          <t>Long</t>
        </is>
      </c>
      <c r="G61" t="n">
        <v>1</v>
      </c>
      <c r="H61" t="n">
        <v>1</v>
      </c>
      <c r="I61" t="n">
        <v>0</v>
      </c>
      <c r="J61" t="n">
        <v>1</v>
      </c>
      <c r="K61" t="n">
        <v>3</v>
      </c>
      <c r="R61" t="n">
        <v>19.1</v>
      </c>
      <c r="S61" t="inlineStr">
        <is>
          <t>RISK-ON (FRAGILE) / GEOPOLITICAL-BINARY - CEASEFIRE EXTENDED, HORMUZ BLOCKED</t>
        </is>
      </c>
      <c r="T61" t="inlineStr">
        <is>
          <t>Corr+STALE_T3</t>
        </is>
      </c>
      <c r="V61" t="inlineStr">
        <is>
          <t>No</t>
        </is>
      </c>
      <c r="W61" t="inlineStr">
        <is>
          <t>OPEN</t>
        </is>
      </c>
      <c r="AE61" t="inlineStr">
        <is>
          <t>2026-04-22/trade-rec-2026-04-22.md</t>
        </is>
      </c>
      <c r="AF61" t="inlineStr">
        <is>
          <t>Correlation-blocked behind Brent + basis-mom T3 STALE Apr-17 at 5d limit. Would promote if Brent fails or fresh WTI basis-mom lands non-divergent.</t>
        </is>
      </c>
      <c r="AG61" t="inlineStr">
        <is>
          <t>Equity:ON Intl:ON Commodity:ON Crypto:OFF</t>
        </is>
      </c>
      <c r="AH61" t="inlineStr">
        <is>
          <t>CapitalExpansion(+1.65)</t>
        </is>
      </c>
    </row>
    <row r="62">
      <c r="A62" t="inlineStr">
        <is>
          <t>N043</t>
        </is>
      </c>
      <c r="B62" t="inlineStr">
        <is>
          <t>Near-Miss</t>
        </is>
      </c>
      <c r="C62" s="34" t="n">
        <v>46134</v>
      </c>
      <c r="D62" t="inlineStr">
        <is>
          <t>Silver</t>
        </is>
      </c>
      <c r="E62" t="inlineStr">
        <is>
          <t>Commodity</t>
        </is>
      </c>
      <c r="F62" t="inlineStr">
        <is>
          <t>Long</t>
        </is>
      </c>
      <c r="G62" t="n">
        <v>1</v>
      </c>
      <c r="H62" t="n">
        <v>1</v>
      </c>
      <c r="I62" t="n">
        <v>0</v>
      </c>
      <c r="J62" t="n">
        <v>1</v>
      </c>
      <c r="K62" t="n">
        <v>3</v>
      </c>
      <c r="R62" t="n">
        <v>19.1</v>
      </c>
      <c r="S62" t="inlineStr">
        <is>
          <t>RISK-ON (FRAGILE) / GEOPOLITICAL-BINARY - CEASEFIRE EXTENDED, HORMUZ BLOCKED</t>
        </is>
      </c>
      <c r="T62" t="inlineStr">
        <is>
          <t>Corr</t>
        </is>
      </c>
      <c r="V62" t="inlineStr">
        <is>
          <t>No</t>
        </is>
      </c>
      <c r="W62" t="inlineStr">
        <is>
          <t>OPEN</t>
        </is>
      </c>
      <c r="AE62" t="inlineStr">
        <is>
          <t>2026-04-22/trade-rec-2026-04-22.md</t>
        </is>
      </c>
      <c r="AF62" t="inlineStr">
        <is>
          <t>Gate-UNBLOCKED today (sleeve CONFIRMED ON) but correlation-gated behind Brent. Promotes if Brent fills + sector cap has room, or industrial-surprise C+1.</t>
        </is>
      </c>
      <c r="AG62" t="inlineStr">
        <is>
          <t>Equity:ON Intl:ON Commodity:ON Crypto:OFF</t>
        </is>
      </c>
      <c r="AH62" t="inlineStr">
        <is>
          <t>CapitalExpansion(+1.65)</t>
        </is>
      </c>
    </row>
    <row r="63">
      <c r="A63" t="inlineStr">
        <is>
          <t>N044</t>
        </is>
      </c>
      <c r="B63" t="inlineStr">
        <is>
          <t>Near-Miss</t>
        </is>
      </c>
      <c r="C63" s="34" t="n">
        <v>46134</v>
      </c>
      <c r="D63" t="inlineStr">
        <is>
          <t>Copper</t>
        </is>
      </c>
      <c r="E63" t="inlineStr">
        <is>
          <t>Commodity</t>
        </is>
      </c>
      <c r="F63" t="inlineStr">
        <is>
          <t>Long</t>
        </is>
      </c>
      <c r="G63" t="n">
        <v>1</v>
      </c>
      <c r="H63" t="n">
        <v>1</v>
      </c>
      <c r="I63" t="n">
        <v>0</v>
      </c>
      <c r="J63" t="n">
        <v>1</v>
      </c>
      <c r="K63" t="n">
        <v>3</v>
      </c>
      <c r="R63" t="n">
        <v>19.1</v>
      </c>
      <c r="S63" t="inlineStr">
        <is>
          <t>RISK-ON (FRAGILE) / GEOPOLITICAL-BINARY - CEASEFIRE EXTENDED, HORMUZ BLOCKED</t>
        </is>
      </c>
      <c r="T63" t="inlineStr">
        <is>
          <t>C</t>
        </is>
      </c>
      <c r="V63" t="inlineStr">
        <is>
          <t>No</t>
        </is>
      </c>
      <c r="W63" t="inlineStr">
        <is>
          <t>OPEN</t>
        </is>
      </c>
      <c r="AE63" t="inlineStr">
        <is>
          <t>2026-04-22/trade-rec-2026-04-22.md</t>
        </is>
      </c>
      <c r="AF63" t="inlineStr">
        <is>
          <t>China PMI &gt;50.5 needed. Next print May-01. Correlation-gate also behind Brent within commodity sector cap.</t>
        </is>
      </c>
      <c r="AG63" t="inlineStr">
        <is>
          <t>Equity:ON Intl:ON Commodity:ON Crypto:OFF</t>
        </is>
      </c>
      <c r="AH63" t="inlineStr">
        <is>
          <t>CapitalExpansion(+1.65)</t>
        </is>
      </c>
    </row>
    <row r="64">
      <c r="A64" t="inlineStr">
        <is>
          <t>N045</t>
        </is>
      </c>
      <c r="B64" t="inlineStr">
        <is>
          <t>Near-Miss</t>
        </is>
      </c>
      <c r="C64" s="34" t="n">
        <v>46134</v>
      </c>
      <c r="D64" t="inlineStr">
        <is>
          <t>WDC</t>
        </is>
      </c>
      <c r="E64" t="inlineStr">
        <is>
          <t>Equity-single</t>
        </is>
      </c>
      <c r="F64" t="inlineStr">
        <is>
          <t>Long</t>
        </is>
      </c>
      <c r="G64" t="n">
        <v>1</v>
      </c>
      <c r="H64" t="n">
        <v>1</v>
      </c>
      <c r="I64" t="n">
        <v>0</v>
      </c>
      <c r="J64" t="n">
        <v>1</v>
      </c>
      <c r="K64" t="n">
        <v>3</v>
      </c>
      <c r="R64" t="n">
        <v>19.1</v>
      </c>
      <c r="S64" t="inlineStr">
        <is>
          <t>RISK-ON (FRAGILE) / GEOPOLITICAL-BINARY - CEASEFIRE EXTENDED, HORMUZ BLOCKED</t>
        </is>
      </c>
      <c r="T64" t="inlineStr">
        <is>
          <t>C</t>
        </is>
      </c>
      <c r="V64" t="inlineStr">
        <is>
          <t>No</t>
        </is>
      </c>
      <c r="W64" t="inlineStr">
        <is>
          <t>OPEN</t>
        </is>
      </c>
      <c r="AE64" t="inlineStr">
        <is>
          <t>2026-04-22/trade-rec-2026-04-22.md</t>
        </is>
      </c>
      <c r="AF64" t="inlineStr">
        <is>
          <t>Residual +2.38% (borderline T+1); no near-term catalyst. Re-evaluate at AI/data-center news flow or earnings.</t>
        </is>
      </c>
      <c r="AG64" t="inlineStr">
        <is>
          <t>Equity:ON Intl:ON Commodity:ON Crypto:OFF</t>
        </is>
      </c>
      <c r="AH64" t="inlineStr">
        <is>
          <t>CapitalExpansion(+1.65)</t>
        </is>
      </c>
    </row>
    <row r="65">
      <c r="A65" t="inlineStr">
        <is>
          <t>N046</t>
        </is>
      </c>
      <c r="B65" t="inlineStr">
        <is>
          <t>Near-Miss</t>
        </is>
      </c>
      <c r="C65" s="34" t="n">
        <v>46134</v>
      </c>
      <c r="D65" t="inlineStr">
        <is>
          <t>NVDA</t>
        </is>
      </c>
      <c r="E65" t="inlineStr">
        <is>
          <t>Equity-single</t>
        </is>
      </c>
      <c r="F65" t="inlineStr">
        <is>
          <t>Long</t>
        </is>
      </c>
      <c r="G65" t="n">
        <v>1</v>
      </c>
      <c r="H65" t="n">
        <v>0</v>
      </c>
      <c r="I65" t="n">
        <v>1</v>
      </c>
      <c r="J65" t="n">
        <v>1</v>
      </c>
      <c r="K65" t="n">
        <v>3</v>
      </c>
      <c r="R65" t="n">
        <v>19.1</v>
      </c>
      <c r="S65" t="inlineStr">
        <is>
          <t>RISK-ON (FRAGILE) / GEOPOLITICAL-BINARY - CEASEFIRE EXTENDED, HORMUZ BLOCKED</t>
        </is>
      </c>
      <c r="T65" t="inlineStr">
        <is>
          <t>T</t>
        </is>
      </c>
      <c r="V65" t="inlineStr">
        <is>
          <t>No</t>
        </is>
      </c>
      <c r="W65" t="inlineStr">
        <is>
          <t>OPEN</t>
        </is>
      </c>
      <c r="AE65" t="inlineStr">
        <is>
          <t>2026-04-22/trade-rec-2026-04-22.md</t>
        </is>
      </c>
      <c r="AF65" t="inlineStr">
        <is>
          <t>Residual -1.00% (T=0); raw TSMOM +53.55% (trust residual per methodology). C+1 for GOOGL Apr-29 AI read-through. Promotes if residual flips &gt;+2%.</t>
        </is>
      </c>
      <c r="AG65" t="inlineStr">
        <is>
          <t>Equity:ON Intl:ON Commodity:ON Crypto:OFF</t>
        </is>
      </c>
      <c r="AH65" t="inlineStr">
        <is>
          <t>CapitalExpansion(+1.65)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zoomScaleNormal="100" workbookViewId="0">
      <pane xSplit="1" ySplit="1" topLeftCell="M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33" min="1" max="1"/>
    <col width="40" customWidth="1" style="33" min="2" max="2"/>
    <col width="14" customWidth="1" style="33" min="3" max="4"/>
    <col width="20" customWidth="1" style="33" min="5" max="5"/>
    <col width="14" customWidth="1" style="33" min="6" max="8"/>
    <col width="20" customWidth="1" style="33" min="9" max="10"/>
    <col width="25" customWidth="1" style="33" min="11" max="13"/>
    <col width="20" customWidth="1" style="33" min="14" max="14"/>
    <col width="12" customWidth="1" style="33" min="15" max="15"/>
    <col width="30" customWidth="1" style="33" min="16" max="16"/>
  </cols>
  <sheetData>
    <row r="1" ht="23.85" customHeight="1" s="33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33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33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2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  <row r="8">
      <c r="A8" s="34" t="n">
        <v>46135</v>
      </c>
      <c r="B8" t="inlineStr">
        <is>
          <t>RISK-ON / OIL-ELEVATED - HORMUZ BLOCKADE (SHIPPING ATTACKS), CEASEFIRE EXTENDED, INTC EARNINGS TONIGHT</t>
        </is>
      </c>
      <c r="C8" t="inlineStr">
        <is>
          <t>POSITIVE (records)</t>
        </is>
      </c>
      <c r="D8" t="inlineStr">
        <is>
          <t>ELEVATED-OIL-DRIVEN</t>
        </is>
      </c>
      <c r="E8" t="inlineStr">
        <is>
          <t>CAUTIOUS (5d pre-FOMC)</t>
        </is>
      </c>
      <c r="F8" t="inlineStr">
        <is>
          <t>LOOSE-BUT-TIGHTENING-AT-MARGIN</t>
        </is>
      </c>
      <c r="G8" t="inlineStr">
        <is>
          <t>RISK-ON-FRAGILE</t>
        </is>
      </c>
      <c r="H8" t="inlineStr">
        <is>
          <t>RECOVERY</t>
        </is>
      </c>
      <c r="I8" t="inlineStr">
        <is>
          <t>NEGATIVE (most since 2023; squeeze setup)</t>
        </is>
      </c>
      <c r="J8" t="inlineStr">
        <is>
          <t>S+1 (addr 493K above 400K threshold; sleeve OFF pending May-01 Faber)</t>
        </is>
      </c>
      <c r="K8" t="inlineStr">
        <is>
          <t>INTC Q1 earnings tonight AC</t>
        </is>
      </c>
      <c r="L8" t="inlineStr">
        <is>
          <t>Brent 100 / WTI 95 re-cross</t>
        </is>
      </c>
      <c r="M8" t="inlineStr">
        <is>
          <t>Apr-24 Flash PMI stagflation read into FOMC Apr-28-29</t>
        </is>
      </c>
      <c r="N8" t="inlineStr">
        <is>
          <t>P013 INTC (pending); P014 AAPL (re-eligible); P009 SPY; P010 EWJ; P016 Brent</t>
        </is>
      </c>
      <c r="O8" t="n">
        <v>11</v>
      </c>
      <c r="P8" t="inlineStr">
        <is>
          <t>2026-04-23/market-brief-2026-04-23.md v1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7"/>
  <sheetViews>
    <sheetView zoomScaleNormal="100" workbookViewId="0">
      <pane xSplit="1" ySplit="1" topLeftCell="AD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33" min="1" max="1"/>
    <col width="25" customWidth="1" style="33" min="2" max="2"/>
    <col width="40" customWidth="1" style="33" min="3" max="3"/>
    <col width="14" customWidth="1" style="33" min="4" max="5"/>
    <col width="10" customWidth="1" style="33" min="6" max="6"/>
    <col width="14" customWidth="1" style="33" min="7" max="9"/>
    <col width="18" customWidth="1" style="33" min="10" max="10"/>
    <col width="12" customWidth="1" style="33" min="11" max="11"/>
    <col width="20" customWidth="1" style="33" min="12" max="12"/>
    <col width="30" customWidth="1" style="33" min="13" max="13"/>
    <col width="40" customWidth="1" style="33" min="14" max="14"/>
    <col width="12" customWidth="1" style="33" min="15" max="16"/>
    <col width="14" customWidth="1" style="33" min="17" max="18"/>
    <col width="16" customWidth="1" style="33" min="19" max="19"/>
    <col width="12" customWidth="1" style="33" min="20" max="22"/>
    <col width="14" customWidth="1" style="33" min="23" max="23"/>
    <col width="30" customWidth="1" style="33" min="24" max="24"/>
    <col width="20" customWidth="1" style="33" min="25" max="25"/>
    <col width="12" customWidth="1" style="33" min="26" max="26"/>
    <col width="8" customWidth="1" style="33" min="27" max="27"/>
    <col width="30" customWidth="1" style="33" min="28" max="28"/>
    <col width="12" customWidth="1" style="33" min="29" max="30"/>
    <col width="30" customWidth="1" style="33" min="31" max="31"/>
    <col width="12" customWidth="1" style="33" min="32" max="33"/>
    <col width="14" customWidth="1" style="33" min="34" max="34"/>
    <col width="30" customWidth="1" style="33" min="35" max="35"/>
    <col width="40" customWidth="1" style="33" min="36" max="36"/>
  </cols>
  <sheetData>
    <row r="1" ht="35.1" customHeight="1" s="33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33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33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33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33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33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33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33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33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33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33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33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33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33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33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33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33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33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33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33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33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33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33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33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33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33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33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33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33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Baltussen-Da-Lammers-Martens (2021) JFE 142(1) "Hedging Demand and Market Intraday Momentum"; Zhu et al. (2024) SPY extension (net Sharpe 1.33)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 | 2026-04-22: Source_Paper corrected from "Barbon-Buraschi (2021) single-paper" (wrong paper, never in systematic-review corpus) to Baltussen-Da-Lammers-Martens 2021 JFE per meta_results.json audit.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 [2026-04-22 citation correction: operational anchor is Baltussen et al. 2021 JFE; Grade B status unchanged.]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  <row r="37">
      <c r="A37" t="inlineStr">
        <is>
          <t>V036</t>
        </is>
      </c>
      <c r="B37" t="inlineStr">
        <is>
          <t>PCTECH</t>
        </is>
      </c>
      <c r="C37" t="inlineStr">
        <is>
          <t>Neely-Rapach PC-TECH composite — principal components of 14 technical indicators forecasting equity risk premium</t>
        </is>
      </c>
      <c r="D37" t="inlineStr">
        <is>
          <t>Equities (Index: SPY/QQQ)</t>
        </is>
      </c>
      <c r="E37" t="inlineStr">
        <is>
          <t>Technical/Timing</t>
        </is>
      </c>
      <c r="F37" t="inlineStr">
        <is>
          <t>1 month</t>
        </is>
      </c>
      <c r="G37" t="inlineStr">
        <is>
          <t>Scoring (Index T-leg)</t>
        </is>
      </c>
      <c r="H37" t="inlineStr">
        <is>
          <t>T</t>
        </is>
      </c>
      <c r="I37" t="inlineStr">
        <is>
          <t>Grade B</t>
        </is>
      </c>
      <c r="J37" t="inlineStr">
        <is>
          <t>Shadow (registered 2026-04-22, data pipeline pending)</t>
        </is>
      </c>
      <c r="K37" s="12" t="n">
        <v>46134</v>
      </c>
      <c r="L37" t="inlineStr">
        <is>
          <t>Meta-analysis 2026-04-18 (BNMA + PL-NMA); registered to Methodology Prompt 2026-04-22 after gap identified in post-integration audit</t>
        </is>
      </c>
      <c r="M37" t="inlineStr">
        <is>
          <t>Neely, Rapach, Tu, Zhou (2014) Management Science 60(7) 1772-1791 "Forecasting the Equity Risk Premium: The Role of Technical Indicators"</t>
        </is>
      </c>
      <c r="N37" t="inlineStr">
        <is>
          <t>PC composite of MA crossovers / momentum / volume indicators — captures technical signal independent of TSMOM</t>
        </is>
      </c>
      <c r="O37" t="inlineStr">
        <is>
          <t>PASS</t>
        </is>
      </c>
      <c r="P37" t="inlineStr">
        <is>
          <t>PARTIAL (Goyal-Welch-Zafirov 2024 qualitative survival; no second formal replication)</t>
        </is>
      </c>
      <c r="Q37" t="inlineStr">
        <is>
          <t>PASS</t>
        </is>
      </c>
      <c r="R37" t="inlineStr">
        <is>
          <t>PASS (distinct horizon/signal family from V009 TSMOM)</t>
        </is>
      </c>
      <c r="S37" t="inlineStr">
        <is>
          <t>PASS (monthly data; free sources)</t>
        </is>
      </c>
      <c r="T37" t="n">
        <v>0.55</v>
      </c>
      <c r="U37" t="n">
        <v>40</v>
      </c>
      <c r="V37" t="inlineStr">
        <is>
          <t>0.30-0.45</t>
        </is>
      </c>
      <c r="W37" t="inlineStr">
        <is>
          <t>Low with V009 TSMOM (different horizon/signal family) — use as second T-leg on index sleeve only</t>
        </is>
      </c>
      <c r="X37" t="inlineStr">
        <is>
          <t>NOT redundant with V009 on indices; redundant on single stocks (do not score V036 on single-stock sleeve)</t>
        </is>
      </c>
      <c r="Y37" t="inlineStr">
        <is>
          <t>Amit Goyal replication archive OR self-compute from 14 technical indicators</t>
        </is>
      </c>
      <c r="Z37" t="inlineStr">
        <is>
          <t>Monthly</t>
        </is>
      </c>
      <c r="AA37" t="inlineStr">
        <is>
          <t>0-5d</t>
        </is>
      </c>
      <c r="AB37" t="inlineStr">
        <is>
          <t>V009 + V036 on same index ticker: average, do not sum (Methodology Prompt scoring rule #5, 2026-04-22)</t>
        </is>
      </c>
      <c r="AC37" s="12" t="n">
        <v>46134</v>
      </c>
      <c r="AD37" s="12" t="n">
        <v>46309</v>
      </c>
      <c r="AE37" t="inlineStr">
        <is>
          <t>Registered 2026-04-22 via post-integration audit. PL-NMA rank 9/54 primary, 6/54 S2 (robust-top-10); BNMA post_mean 0.484, prob_positive 1.0. Phase-2 data pipeline not yet scheduled.</t>
        </is>
      </c>
      <c r="AI37" t="inlineStr">
        <is>
          <t>Not yet assessed (shadow — no live rows yet)</t>
        </is>
      </c>
      <c r="AJ37" t="inlineStr">
        <is>
          <t>DEPLOY_CONDITIONAL per systematic review. Flag Grade B in every brief referencing it. Second independent replication required for Grade A promotion at 2026-10-14.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baseColWidth="8" defaultColWidth="8.6640625" defaultRowHeight="14.25"/>
  <cols>
    <col width="18.86328125" customWidth="1" style="33" min="1" max="1"/>
    <col width="19.6640625" customWidth="1" style="33" min="2" max="2"/>
    <col width="35" customWidth="1" style="33" min="3" max="3"/>
    <col width="25" customWidth="1" style="33" min="4" max="4"/>
    <col width="10" customWidth="1" style="33" min="5" max="5"/>
    <col width="25" customWidth="1" style="33" min="6" max="6"/>
    <col width="12" customWidth="1" style="33" min="7" max="8"/>
    <col width="30" customWidth="1" style="33" min="9" max="10"/>
    <col width="20" customWidth="1" style="33" min="11" max="11"/>
    <col width="30" customWidth="1" style="33" min="12" max="12"/>
  </cols>
  <sheetData>
    <row r="1" ht="23.85" customHeight="1" s="33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33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33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33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33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33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2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33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33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2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2" t="n">
        <v>46133</v>
      </c>
      <c r="B21" s="12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2" t="n">
        <v>46133</v>
      </c>
      <c r="B22" s="12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2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2" t="n">
        <v>46133</v>
      </c>
      <c r="B23" s="12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2" t="n">
        <v>46133</v>
      </c>
      <c r="B24" s="12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2" t="n">
        <v>46133</v>
      </c>
      <c r="B25" s="12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2" t="n">
        <v>46133</v>
      </c>
      <c r="B26" s="12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2" t="n">
        <v>46133</v>
      </c>
      <c r="B27" s="12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2" t="n">
        <v>46133</v>
      </c>
      <c r="B28" s="12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2" t="n">
        <v>46133</v>
      </c>
      <c r="B29" s="12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2" t="n">
        <v>46133</v>
      </c>
      <c r="B30" s="12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  <row r="31">
      <c r="A31" s="34" t="n">
        <v>46135</v>
      </c>
      <c r="B31" s="34" t="n">
        <v>46135</v>
      </c>
      <c r="C31" t="inlineStr">
        <is>
          <t>Hormuz shipping attacks - Iran seized 2 container ships + attacked 3rd; refused to reopen; US CENTCOM turnaways 31</t>
        </is>
      </c>
      <c r="D31" t="inlineStr">
        <is>
          <t>Brent, WTI, Gold, Silver, SPY, QQQ, EWJ</t>
        </is>
      </c>
      <c r="E31" t="inlineStr">
        <is>
          <t>HIGH</t>
        </is>
      </c>
      <c r="F31" t="inlineStr">
        <is>
          <t>Supply shock sticky; ceasefire extension narrowed to oil-shipping-only freeze (Leavitt). Not de-escalation.</t>
        </is>
      </c>
      <c r="G31" t="inlineStr">
        <is>
          <t>PENDING</t>
        </is>
      </c>
      <c r="L31" t="inlineStr">
        <is>
          <t>2026-04-23/market-brief-2026-04-23.md</t>
        </is>
      </c>
    </row>
    <row r="32">
      <c r="A32" s="34" t="n">
        <v>46135</v>
      </c>
      <c r="B32" s="34" t="n">
        <v>46136</v>
      </c>
      <c r="C32" t="inlineStr">
        <is>
          <t>S&amp;P Global Flash PMI US - first post-Hormuz growth+inflation read</t>
        </is>
      </c>
      <c r="D32" t="inlineStr">
        <is>
          <t>SPY, QQQ, DXY, Bonds</t>
        </is>
      </c>
      <c r="E32" t="inlineStr">
        <is>
          <t>HIGH</t>
        </is>
      </c>
      <c r="F32" t="inlineStr">
        <is>
          <t>March composite 51.4 (11m low). Miss &lt;50 = recession signal hits P009/P010. Above 52 = resilience. Into FOMC amplified.</t>
        </is>
      </c>
      <c r="G32" t="inlineStr">
        <is>
          <t>PENDING</t>
        </is>
      </c>
      <c r="L32" t="inlineStr">
        <is>
          <t>2026-04-23/market-brief-2026-04-23.md</t>
        </is>
      </c>
    </row>
    <row r="33">
      <c r="A33" s="34" t="n">
        <v>46135</v>
      </c>
      <c r="B33" s="34" t="n">
        <v>46142</v>
      </c>
      <c r="C33" t="inlineStr">
        <is>
          <t>AAPL P014 time-stop pre-May-01 earnings exit</t>
        </is>
      </c>
      <c r="D33" t="inlineStr">
        <is>
          <t>AAPL</t>
        </is>
      </c>
      <c r="E33" t="inlineStr">
        <is>
          <t>MEDIUM</t>
        </is>
      </c>
      <c r="F33" t="inlineStr">
        <is>
          <t>P014 must exit before May-01 earnings binary IF entered. Re-eligible Apr-23 ($273.17 back in zone $271-274).</t>
        </is>
      </c>
      <c r="G33" t="inlineStr">
        <is>
          <t>PENDING</t>
        </is>
      </c>
      <c r="L33" t="inlineStr">
        <is>
          <t>2026-04-23/market-brief-2026-04-23.md</t>
        </is>
      </c>
    </row>
    <row r="34">
      <c r="A34" s="34" t="n">
        <v>46135</v>
      </c>
      <c r="B34" s="34" t="n">
        <v>46143</v>
      </c>
      <c r="C34" t="inlineStr">
        <is>
          <t>Faber overlay monthly review - sleeve gate flip</t>
        </is>
      </c>
      <c r="D34" t="inlineStr">
        <is>
          <t>SPY, GSG, BTC, EWJ</t>
        </is>
      </c>
      <c r="E34" t="inlineStr">
        <is>
          <t>HIGH</t>
        </is>
      </c>
      <c r="F34" t="inlineStr">
        <is>
          <t>BTC must close above $91,523 at Apr-30 to flip crypto sleeve ON ($14K away from $77,536). Equity/commodity gates remain ON.</t>
        </is>
      </c>
      <c r="G34" t="inlineStr">
        <is>
          <t>PENDING</t>
        </is>
      </c>
      <c r="L34" t="inlineStr">
        <is>
          <t>2026-04-23/market-brief-2026-04-23.md</t>
        </is>
      </c>
    </row>
    <row r="35">
      <c r="A35" s="34" t="n">
        <v>46135</v>
      </c>
      <c r="B35" s="34" t="n">
        <v>46141</v>
      </c>
      <c r="C35" t="inlineStr">
        <is>
          <t>GOOGL Q1 earnings AC (P015 entry trigger; date correction from earlier Apr-22 log)</t>
        </is>
      </c>
      <c r="D35" t="inlineStr">
        <is>
          <t>GOOGL, QQQ, NVDA</t>
        </is>
      </c>
      <c r="E35" t="inlineStr">
        <is>
          <t>HIGH</t>
        </is>
      </c>
      <c r="F35" t="inlineStr">
        <is>
          <t>88 pct Mag7 Q1 beat rate. P015 entry Apr-30 AM on beat. C+1 scored pre-earnings.</t>
        </is>
      </c>
      <c r="G35" t="inlineStr">
        <is>
          <t>PENDING</t>
        </is>
      </c>
      <c r="L35" t="inlineStr">
        <is>
          <t>2026-04-23/market-brief-2026-04-23.md</t>
        </is>
      </c>
    </row>
    <row r="36">
      <c r="A36" s="34" t="n">
        <v>46135</v>
      </c>
      <c r="B36" s="34" t="n">
        <v>46141</v>
      </c>
      <c r="C36" t="inlineStr">
        <is>
          <t>AMZN Q1 earnings AC (date correction from Apr-23 log)</t>
        </is>
      </c>
      <c r="D36" t="inlineStr">
        <is>
          <t>AMZN, QQQ</t>
        </is>
      </c>
      <c r="E36" t="inlineStr">
        <is>
          <t>MEDIUM</t>
        </is>
      </c>
      <c r="F36" t="inlineStr">
        <is>
          <t>AWS growth, $125B capex leverage; same-day as FOMC + META.</t>
        </is>
      </c>
      <c r="G36" t="inlineStr">
        <is>
          <t>PENDING</t>
        </is>
      </c>
      <c r="L36" t="inlineStr">
        <is>
          <t>2026-04-23/market-brief-2026-04-23.md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33" min="1" max="1"/>
    <col width="14" customWidth="1" style="33" min="2" max="2"/>
    <col width="12" customWidth="1" style="33" min="3" max="4"/>
    <col width="40" customWidth="1" style="33" min="5" max="5"/>
    <col width="10" customWidth="1" style="33" min="6" max="6"/>
    <col width="30" customWidth="1" style="33" min="7" max="7"/>
    <col width="14" customWidth="1" style="33" min="8" max="10"/>
    <col width="12" customWidth="1" style="33" min="11" max="11"/>
    <col width="25" customWidth="1" style="33" min="12" max="12"/>
    <col width="30" customWidth="1" style="33" min="13" max="13"/>
  </cols>
  <sheetData>
    <row r="1" ht="35.1" customHeight="1" s="33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33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33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2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  <row r="8">
      <c r="A8" s="34" t="n">
        <v>46135</v>
      </c>
      <c r="B8" t="n">
        <v>25</v>
      </c>
      <c r="C8" t="n">
        <v>3</v>
      </c>
      <c r="D8" t="n">
        <v>12</v>
      </c>
      <c r="E8" t="inlineStr">
        <is>
          <t>DGS2, DFII10, T10YIE (FRED 2d stale beyond 1d window)</t>
        </is>
      </c>
      <c r="F8" t="n">
        <v>5</v>
      </c>
      <c r="G8" t="inlineStr">
        <is>
          <t>HY OAS (T3 2d at limit); WTI/Gold/Silver/Copper basis-mom (T3 6d DEGRADED)</t>
        </is>
      </c>
      <c r="H8" t="inlineStr">
        <is>
          <t>LIVE</t>
        </is>
      </c>
      <c r="I8" t="inlineStr">
        <is>
          <t>LIVE</t>
        </is>
      </c>
      <c r="J8" t="inlineStr">
        <is>
          <t>DEGRADED (Brent fresh; WTI/Gold/Silver/Copper T3 &gt;5d)</t>
        </is>
      </c>
      <c r="K8" t="inlineStr">
        <is>
          <t>DEGRADED</t>
        </is>
      </c>
      <c r="L8" t="inlineStr">
        <is>
          <t>2026-04-23/market-brief-2026-04-23.md v1</t>
        </is>
      </c>
      <c r="M8" t="inlineStr">
        <is>
          <t>6th consecutive failure for WTI/Gold/Silver/Copper basis-mom retrieval; FRED rates fallback T3 &gt;1d window flags MISSING per protocol. Infrastructure fix HIGH priority on compute_audit_additions.py futures_curves.csv population.</t>
        </is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33" min="1" max="1"/>
    <col width="22" customWidth="1" style="33" min="2" max="2"/>
    <col width="8" customWidth="1" style="33" min="3" max="3"/>
    <col width="35" customWidth="1" style="33" min="4" max="4"/>
    <col width="12" customWidth="1" style="33" min="5" max="6"/>
    <col width="14" customWidth="1" style="33" min="7" max="7"/>
    <col width="12" customWidth="1" style="33" min="8" max="8"/>
    <col width="30" customWidth="1" style="33" min="9" max="9"/>
  </cols>
  <sheetData>
    <row r="1" ht="23.85" customHeight="1" s="33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33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33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33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33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33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33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33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33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33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33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33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33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4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4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4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4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4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4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4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2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2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2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2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2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2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2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2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  <row r="43">
      <c r="A43" s="34" t="n">
        <v>46134</v>
      </c>
      <c r="B43" t="inlineStr">
        <is>
          <t>V029 BAB (ETF proxy)</t>
        </is>
      </c>
      <c r="C43" t="inlineStr">
        <is>
          <t>USMV/SPLV</t>
        </is>
      </c>
      <c r="D43" t="inlineStr">
        <is>
          <t>SHADOW: RETRIEVED — ANTI-BAB spread -0.01%</t>
        </is>
      </c>
      <c r="E43" t="inlineStr">
        <is>
          <t>SHADOW (not in live scoring)</t>
        </is>
      </c>
      <c r="F43" t="inlineStr">
        <is>
          <t>SHADOW — spread=-0.01% ANTI-BAB</t>
        </is>
      </c>
      <c r="G43" t="inlineStr">
        <is>
          <t>No live impact (shadow mode)</t>
        </is>
      </c>
      <c r="H43" t="inlineStr">
        <is>
          <t>NO — shadow review 2026-04-25</t>
        </is>
      </c>
      <c r="I43" t="inlineStr">
        <is>
          <t>2026-04-22/meta-additions-staging-2026-04-22.md</t>
        </is>
      </c>
    </row>
    <row r="44">
      <c r="A44" s="34" t="n">
        <v>46134</v>
      </c>
      <c r="B44" t="inlineStr">
        <is>
          <t>V030 DealerGamma</t>
        </is>
      </c>
      <c r="C44" t="inlineStr">
        <is>
          <t>SPX options</t>
        </is>
      </c>
      <c r="D44" t="inlineStr">
        <is>
          <t>SHADOW: MISSING — subscription pending</t>
        </is>
      </c>
      <c r="E44" t="inlineStr">
        <is>
          <t>SHADOW (not in live scoring)</t>
        </is>
      </c>
      <c r="F44" t="inlineStr">
        <is>
          <t>SHADOW — MISSING (sub pending)</t>
        </is>
      </c>
      <c r="G44" t="inlineStr">
        <is>
          <t>No live impact (shadow mode)</t>
        </is>
      </c>
      <c r="H44" t="inlineStr">
        <is>
          <t>NO — shadow review 2026-04-25</t>
        </is>
      </c>
      <c r="I44" t="inlineStr">
        <is>
          <t>2026-04-22/meta-additions-staging-2026-04-22.md</t>
        </is>
      </c>
    </row>
    <row r="45">
      <c r="A45" s="34" t="n">
        <v>46134</v>
      </c>
      <c r="B45" t="inlineStr">
        <is>
          <t>V031 GP/A</t>
        </is>
      </c>
      <c r="C45" t="inlineStr">
        <is>
          <t>Equity fundamental</t>
        </is>
      </c>
      <c r="D45" t="inlineStr">
        <is>
          <t>SHADOW: MISSING — Phase 2 stub</t>
        </is>
      </c>
      <c r="E45" t="inlineStr">
        <is>
          <t>SHADOW (not in live scoring)</t>
        </is>
      </c>
      <c r="F45" t="inlineStr">
        <is>
          <t>SHADOW — MISSING (stub)</t>
        </is>
      </c>
      <c r="G45" t="inlineStr">
        <is>
          <t>No live impact (shadow mode)</t>
        </is>
      </c>
      <c r="H45" t="inlineStr">
        <is>
          <t>NO — shadow review 2026-04-25</t>
        </is>
      </c>
      <c r="I45" t="inlineStr">
        <is>
          <t>2026-04-22/meta-additions-staging-2026-04-22.md</t>
        </is>
      </c>
    </row>
    <row r="46">
      <c r="A46" s="34" t="n">
        <v>46134</v>
      </c>
      <c r="B46" t="inlineStr">
        <is>
          <t>V032 CEI</t>
        </is>
      </c>
      <c r="C46" t="inlineStr">
        <is>
          <t>Equity issuance</t>
        </is>
      </c>
      <c r="D46" t="inlineStr">
        <is>
          <t>SHADOW: MISSING — Phase 2 stub</t>
        </is>
      </c>
      <c r="E46" t="inlineStr">
        <is>
          <t>SHADOW (not in live scoring)</t>
        </is>
      </c>
      <c r="F46" t="inlineStr">
        <is>
          <t>SHADOW — MISSING (stub)</t>
        </is>
      </c>
      <c r="G46" t="inlineStr">
        <is>
          <t>No live impact (shadow mode)</t>
        </is>
      </c>
      <c r="H46" t="inlineStr">
        <is>
          <t>NO — shadow review 2026-04-25</t>
        </is>
      </c>
      <c r="I46" t="inlineStr">
        <is>
          <t>2026-04-22/meta-additions-staging-2026-04-22.md</t>
        </is>
      </c>
    </row>
    <row r="47">
      <c r="A47" s="34" t="n">
        <v>46134</v>
      </c>
      <c r="B47" t="inlineStr">
        <is>
          <t>V033 Faber SPY</t>
        </is>
      </c>
      <c r="C47" t="inlineStr">
        <is>
          <t>SPY</t>
        </is>
      </c>
      <c r="D47" t="inlineStr">
        <is>
          <t>SHADOW: RETRIEVED — Gate ON (704.08 vs SMA 668.96)</t>
        </is>
      </c>
      <c r="E47" t="inlineStr">
        <is>
          <t>SHADOW (not in live scoring)</t>
        </is>
      </c>
      <c r="F47" t="inlineStr">
        <is>
          <t>SHADOW — Gate ON +5.25%</t>
        </is>
      </c>
      <c r="G47" t="inlineStr">
        <is>
          <t>No live impact (shadow mode)</t>
        </is>
      </c>
      <c r="H47" t="inlineStr">
        <is>
          <t>NO — shadow review 2026-04-25</t>
        </is>
      </c>
      <c r="I47" t="inlineStr">
        <is>
          <t>2026-04-22/meta-additions-staging-2026-04-22.md</t>
        </is>
      </c>
    </row>
    <row r="48">
      <c r="A48" s="34" t="n">
        <v>46134</v>
      </c>
      <c r="B48" t="inlineStr">
        <is>
          <t>V034 Faber GSCI</t>
        </is>
      </c>
      <c r="C48" t="inlineStr">
        <is>
          <t>GSG</t>
        </is>
      </c>
      <c r="D48" t="inlineStr">
        <is>
          <t>SHADOW: RETRIEVED — Gate ON (31.75 vs SMA 25.35)</t>
        </is>
      </c>
      <c r="E48" t="inlineStr">
        <is>
          <t>SHADOW (not in live scoring)</t>
        </is>
      </c>
      <c r="F48" t="inlineStr">
        <is>
          <t>SHADOW — Gate ON +25.24%</t>
        </is>
      </c>
      <c r="G48" t="inlineStr">
        <is>
          <t>No live impact (shadow mode)</t>
        </is>
      </c>
      <c r="H48" t="inlineStr">
        <is>
          <t>NO — shadow review 2026-04-25</t>
        </is>
      </c>
      <c r="I48" t="inlineStr">
        <is>
          <t>2026-04-22/meta-additions-staging-2026-04-22.md</t>
        </is>
      </c>
    </row>
    <row r="49">
      <c r="A49" s="34" t="n">
        <v>46134</v>
      </c>
      <c r="B49" t="inlineStr">
        <is>
          <t>V035 Faber BTC</t>
        </is>
      </c>
      <c r="C49" t="inlineStr">
        <is>
          <t>BTC-USD</t>
        </is>
      </c>
      <c r="D49" t="inlineStr">
        <is>
          <t>SHADOW: RETRIEVED — Gate OFF (75872.52 vs SMA 91523.31)</t>
        </is>
      </c>
      <c r="E49" t="inlineStr">
        <is>
          <t>SHADOW (not in live scoring)</t>
        </is>
      </c>
      <c r="F49" t="inlineStr">
        <is>
          <t>SHADOW — Gate OFF -17.10%</t>
        </is>
      </c>
      <c r="G49" t="inlineStr">
        <is>
          <t>No live impact (shadow mode)</t>
        </is>
      </c>
      <c r="H49" t="inlineStr">
        <is>
          <t>NO — shadow review 2026-04-25</t>
        </is>
      </c>
      <c r="I49" t="inlineStr">
        <is>
          <t>2026-04-22/meta-additions-staging-2026-04-22.md</t>
        </is>
      </c>
    </row>
    <row r="50">
      <c r="A50" s="34" t="n">
        <v>46134</v>
      </c>
      <c r="B50" t="inlineStr">
        <is>
          <t>V036 PCTECH</t>
        </is>
      </c>
      <c r="C50" t="inlineStr">
        <is>
          <t>SPY/QQQ</t>
        </is>
      </c>
      <c r="D50" t="inlineStr">
        <is>
          <t>SHADOW-PENDING-PIPELINE — data pipeline not yet implemented</t>
        </is>
      </c>
      <c r="E50" t="inlineStr">
        <is>
          <t>SHADOW (not in live scoring)</t>
        </is>
      </c>
      <c r="F50" t="inlineStr">
        <is>
          <t>SHADOW-PENDING-PIPELINE</t>
        </is>
      </c>
      <c r="G50" t="inlineStr">
        <is>
          <t>No live impact (pipeline pending)</t>
        </is>
      </c>
      <c r="H50" t="inlineStr">
        <is>
          <t>NO — pipeline must ship first</t>
        </is>
      </c>
      <c r="I50" t="inlineStr">
        <is>
          <t>2026-04-22/meta-additions-staging-2026-04-22.md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topLeftCell="A19" zoomScaleNormal="100" workbookViewId="0">
      <selection activeCell="A1" sqref="A1:D1"/>
    </sheetView>
  </sheetViews>
  <sheetFormatPr baseColWidth="8" defaultColWidth="8.6640625" defaultRowHeight="14.25"/>
  <cols>
    <col width="25" customWidth="1" style="33" min="1" max="1"/>
    <col width="20" customWidth="1" style="33" min="2" max="3"/>
    <col width="15" customWidth="1" style="33" min="4" max="5"/>
  </cols>
  <sheetData>
    <row r="1" ht="17.35" customHeight="1" s="33">
      <c r="A1" s="32" t="inlineStr">
        <is>
          <t>Performance Statistics</t>
        </is>
      </c>
    </row>
    <row r="3" ht="15" customHeight="1" s="33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33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33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33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33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33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33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33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33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33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33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33">
      <c r="A16" s="9" t="inlineStr">
        <is>
          <t>By Asset Class</t>
        </is>
      </c>
    </row>
    <row r="17" ht="15" customHeight="1" s="33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33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33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33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33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33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33">
      <c r="A25" s="9" t="inlineStr">
        <is>
          <t>By Score Component (when = +1)</t>
        </is>
      </c>
    </row>
    <row r="26" ht="15" customHeight="1" s="33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33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33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33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33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33">
      <c r="A33" s="9" t="inlineStr">
        <is>
          <t>Variable Registry Summary</t>
        </is>
      </c>
    </row>
    <row r="34" ht="15" customHeight="1" s="33">
      <c r="A34" s="5" t="inlineStr">
        <is>
          <t>Status</t>
        </is>
      </c>
      <c r="B34" s="5" t="inlineStr">
        <is>
          <t>Count</t>
        </is>
      </c>
    </row>
    <row r="35" ht="15" customHeight="1" s="33">
      <c r="A35" s="6" t="inlineStr">
        <is>
          <t>Candidate</t>
        </is>
      </c>
      <c r="B35" s="7">
        <f>COUNTIF(VariableRegistry!J2:J10000,"Candidate")</f>
        <v/>
      </c>
    </row>
    <row r="36" ht="15" customHeight="1" s="33">
      <c r="A36" s="6" t="inlineStr">
        <is>
          <t>Watchlist</t>
        </is>
      </c>
      <c r="B36" s="7">
        <f>COUNTIF(VariableRegistry!J2:J10000,"Watchlist")</f>
        <v/>
      </c>
    </row>
    <row r="37" ht="15" customHeight="1" s="33">
      <c r="A37" s="6" t="inlineStr">
        <is>
          <t>Under Review</t>
        </is>
      </c>
      <c r="B37" s="7">
        <f>COUNTIF(VariableRegistry!J2:J10000,"Under Review")</f>
        <v/>
      </c>
    </row>
    <row r="38" ht="15" customHeight="1" s="33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33">
      <c r="A39" s="6" t="inlineStr">
        <is>
          <t>Approved</t>
        </is>
      </c>
      <c r="B39" s="7">
        <f>COUNTIF(VariableRegistry!J2:J10000,"Approved")</f>
        <v/>
      </c>
    </row>
    <row r="40" ht="15" customHeight="1" s="33">
      <c r="A40" s="6" t="inlineStr">
        <is>
          <t>Grade A</t>
        </is>
      </c>
      <c r="B40" s="7">
        <f>COUNTIF(VariableRegistry!J2:J10000,"Grade A")</f>
        <v/>
      </c>
    </row>
    <row r="41" ht="15" customHeight="1" s="33">
      <c r="A41" s="6" t="inlineStr">
        <is>
          <t>Rejected</t>
        </is>
      </c>
      <c r="B41" s="7">
        <f>COUNTIF(VariableRegistry!J2:J10000,"Rejected")</f>
        <v/>
      </c>
    </row>
    <row r="42" ht="15" customHeight="1" s="33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33" min="1" max="1"/>
    <col width="80" customWidth="1" style="33" min="2" max="2"/>
  </cols>
  <sheetData>
    <row r="1" ht="17.35" customHeight="1" s="33">
      <c r="A1" s="32" t="inlineStr">
        <is>
          <t>Master Data Log — Architecture Documentation</t>
        </is>
      </c>
    </row>
    <row r="2" ht="15" customHeight="1" s="33">
      <c r="A2" s="6" t="n"/>
    </row>
    <row r="3" ht="15" customHeight="1" s="33">
      <c r="A3" s="6" t="inlineStr">
        <is>
          <t>Created: 2026-04-15</t>
        </is>
      </c>
    </row>
    <row r="4" ht="15" customHeight="1" s="33">
      <c r="A4" s="6" t="inlineStr">
        <is>
          <t>Purpose: Structured analytical data store for Gerald's trading workspace</t>
        </is>
      </c>
    </row>
    <row r="5" ht="15" customHeight="1" s="33">
      <c r="A5" s="6" t="n"/>
    </row>
    <row r="6" ht="15" customHeight="1" s="33">
      <c r="A6" s="10" t="inlineStr">
        <is>
          <t>SHEET DESCRIPTIONS:</t>
        </is>
      </c>
    </row>
    <row r="7" ht="15" customHeight="1" s="33">
      <c r="A7" s="6" t="n"/>
    </row>
    <row r="8" ht="15" customHeight="1" s="33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33">
      <c r="A9" s="6" t="n"/>
      <c r="B9" s="6" t="inlineStr">
        <is>
          <t>Producer: market-brief skill (appends row daily at 20:00 UTC+8)</t>
        </is>
      </c>
    </row>
    <row r="10" ht="15" customHeight="1" s="33">
      <c r="A10" s="6" t="n"/>
      <c r="B10" s="6" t="inlineStr">
        <is>
          <t>Consumer: signal-review, quarterly-methodology-review</t>
        </is>
      </c>
    </row>
    <row r="11" ht="15" customHeight="1" s="33">
      <c r="A11" s="6" t="n"/>
    </row>
    <row r="12" ht="15" customHeight="1" s="33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33">
      <c r="A13" s="6" t="n"/>
      <c r="B13" s="6" t="inlineStr">
        <is>
          <t>Producer: daily-trade-rec skill (appends rows at 20:25 UTC+8)</t>
        </is>
      </c>
    </row>
    <row r="14" ht="15" customHeight="1" s="33">
      <c r="A14" s="6" t="n"/>
      <c r="B14" s="6" t="inlineStr">
        <is>
          <t>Consumer: signal-review (marks-to-market weekly), quarterly-review</t>
        </is>
      </c>
    </row>
    <row r="15" ht="15" customHeight="1" s="33">
      <c r="A15" s="6" t="n"/>
    </row>
    <row r="16" ht="15" customHeight="1" s="33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33">
      <c r="A17" s="6" t="n"/>
      <c r="B17" s="6" t="inlineStr">
        <is>
          <t>Producer: market-brief skill</t>
        </is>
      </c>
    </row>
    <row r="18" ht="15" customHeight="1" s="33">
      <c r="A18" s="6" t="n"/>
      <c r="B18" s="6" t="inlineStr">
        <is>
          <t>Consumer: signal-review (regime-conditional analysis)</t>
        </is>
      </c>
    </row>
    <row r="19" ht="15" customHeight="1" s="33">
      <c r="A19" s="6" t="n"/>
    </row>
    <row r="20" ht="15" customHeight="1" s="33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33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33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33">
      <c r="A23" s="6" t="n"/>
      <c r="B23" s="6" t="inlineStr">
        <is>
          <t>Review cadence: Daily add, Weekly clean, Monthly watchlist review, Quarterly promote/demote</t>
        </is>
      </c>
    </row>
    <row r="24" ht="15" customHeight="1" s="33">
      <c r="A24" s="6" t="n"/>
    </row>
    <row r="25" ht="15" customHeight="1" s="33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33">
      <c r="A26" s="6" t="n"/>
      <c r="B26" s="6" t="inlineStr">
        <is>
          <t>Producer: daily-trade-rec skill (from §4 catalyst map)</t>
        </is>
      </c>
    </row>
    <row r="27" ht="15" customHeight="1" s="33">
      <c r="A27" s="6" t="n"/>
      <c r="B27" s="6" t="inlineStr">
        <is>
          <t>Consumer: signal-review (catalyst resolution tracking)</t>
        </is>
      </c>
    </row>
    <row r="28" ht="15" customHeight="1" s="33">
      <c r="A28" s="6" t="n"/>
    </row>
    <row r="29" ht="15" customHeight="1" s="33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33">
      <c r="A30" s="6" t="n"/>
      <c r="B30" s="6" t="inlineStr">
        <is>
          <t>Producer: market-brief and preflight-check skills</t>
        </is>
      </c>
    </row>
    <row r="31" ht="15" customHeight="1" s="33">
      <c r="A31" s="6" t="n"/>
      <c r="B31" s="6" t="inlineStr">
        <is>
          <t>Consumer: quarterly-review (data pipeline audit)</t>
        </is>
      </c>
    </row>
    <row r="32" ht="15" customHeight="1" s="33">
      <c r="A32" s="6" t="n"/>
    </row>
    <row r="33" ht="15" customHeight="1" s="33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33">
      <c r="A34" s="6" t="n"/>
      <c r="B34" s="6" t="inlineStr">
        <is>
          <t>Replaces Memory.md §10. Evidence base for the 2026-10-14 review.</t>
        </is>
      </c>
    </row>
    <row r="35" ht="15" customHeight="1" s="33">
      <c r="A35" s="6" t="n"/>
      <c r="B35" s="6" t="inlineStr">
        <is>
          <t>Producer: daily-trade-rec skill</t>
        </is>
      </c>
    </row>
    <row r="36" ht="15" customHeight="1" s="33">
      <c r="A36" s="6" t="n"/>
    </row>
    <row r="37" ht="15" customHeight="1" s="33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33">
      <c r="A38" s="6" t="n"/>
      <c r="B38" s="6" t="inlineStr">
        <is>
          <t>Includes win rates, asset class breakdowns, score component analysis, variable registry summary.</t>
        </is>
      </c>
    </row>
    <row r="39" ht="15" customHeight="1" s="33">
      <c r="A39" s="29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33">
      <c r="B40" t="inlineStr">
        <is>
          <t>Producer: daily-trade-rec skill Step 8.5 (appends H### rows at rec time)</t>
        </is>
      </c>
    </row>
    <row r="41" ht="15" customHeight="1" s="33">
      <c r="B41" t="inlineStr">
        <is>
          <t>Consumer: signal-review (marks to market weekly, produces dim-14 efficacy report in PerformanceStats)</t>
        </is>
      </c>
    </row>
    <row r="42" ht="15" customHeight="1" s="33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33">
      <c r="A43" s="6" t="n"/>
    </row>
    <row r="44" ht="15" customHeight="1" s="33">
      <c r="A44" s="10" t="inlineStr">
        <is>
          <t>RULES:</t>
        </is>
      </c>
    </row>
    <row r="45" ht="15" customHeight="1" s="33">
      <c r="A45" s="11" t="inlineStr">
        <is>
          <t>1. SignalLedger is append-only. Never delete or retroactively edit rows.</t>
        </is>
      </c>
    </row>
    <row r="46" ht="15" customHeight="1" s="33">
      <c r="A46" s="11" t="inlineStr">
        <is>
          <t>2. DailyVariables: one row per trading day. Overwrite only if same-day correction (note in Source_Brief).</t>
        </is>
      </c>
    </row>
    <row r="47" ht="15" customHeight="1" s="33">
      <c r="A47" s="11" t="inlineStr">
        <is>
          <t>3. VariableRegistry: variables can change status but are never deleted. Rejected/Retired variables stay for audit trail.</t>
        </is>
      </c>
    </row>
    <row r="48" ht="15" customHeight="1" s="33">
      <c r="A48" s="11" t="inlineStr">
        <is>
          <t>4. Markdown files remain the human-readable presentation layer. This workbook is the analytical layer.</t>
        </is>
      </c>
    </row>
    <row r="49" ht="15" customHeight="1" s="33">
      <c r="A49" s="11" t="inlineStr">
        <is>
          <t>5. If markdown and Excel diverge, Excel is source of truth for quantitative data.</t>
        </is>
      </c>
    </row>
    <row r="50" ht="15" customHeight="1" s="33">
      <c r="A50" s="6" t="n"/>
    </row>
    <row r="51" ht="15" customHeight="1" s="33">
      <c r="A51" s="10" t="inlineStr">
        <is>
          <t>VARIABLE DISCOVERY SYSTEM:</t>
        </is>
      </c>
    </row>
    <row r="52" ht="15" customHeight="1" s="33">
      <c r="A52" s="11" t="inlineStr">
        <is>
          <t>Status Ladder:</t>
        </is>
      </c>
    </row>
    <row r="53" ht="15" customHeight="1" s="33">
      <c r="A53" s="6" t="inlineStr">
        <is>
          <t xml:space="preserve">  Candidate — plausible idea, not yet assessed</t>
        </is>
      </c>
    </row>
    <row r="54" ht="15" customHeight="1" s="33">
      <c r="A54" s="6" t="inlineStr">
        <is>
          <t xml:space="preserve">  Watchlist — weak or mixed evidence, worth tracking over time</t>
        </is>
      </c>
    </row>
    <row r="55" ht="15" customHeight="1" s="33">
      <c r="A55" s="6" t="inlineStr">
        <is>
          <t xml:space="preserve">  Under Review — being actively assessed with data</t>
        </is>
      </c>
    </row>
    <row r="56" ht="15" customHeight="1" s="33">
      <c r="A56" s="6" t="inlineStr">
        <is>
          <t xml:space="preserve">  Provisionally Useful — seems helpful but not fully trusted (pilot phase)</t>
        </is>
      </c>
    </row>
    <row r="57" ht="15" customHeight="1" s="33">
      <c r="A57" s="6" t="inlineStr">
        <is>
          <t xml:space="preserve">  Approved — good enough for regular use, pending Grade A evidence</t>
        </is>
      </c>
    </row>
    <row r="58" ht="15" customHeight="1" s="33">
      <c r="A58" s="6" t="inlineStr">
        <is>
          <t xml:space="preserve">  Grade A — strong evidence, repeated usefulness, in core methodology</t>
        </is>
      </c>
    </row>
    <row r="59" ht="15" customHeight="1" s="33">
      <c r="A59" s="6" t="inlineStr">
        <is>
          <t xml:space="preserve">  Rejected — failed screening or proved unhelpful; kept for audit trail</t>
        </is>
      </c>
    </row>
    <row r="60" ht="15" customHeight="1" s="33">
      <c r="A60" s="6" t="inlineStr">
        <is>
          <t xml:space="preserve">  Retired — was useful but no longer (regime change, decay, etc.)</t>
        </is>
      </c>
    </row>
    <row r="61" ht="15" customHeight="1" s="33">
      <c r="A61" s="6" t="n"/>
    </row>
    <row r="62" ht="15" customHeight="1" s="33">
      <c r="A62" s="11" t="inlineStr">
        <is>
          <t>Review Cadence:</t>
        </is>
      </c>
    </row>
    <row r="63" ht="15" customHeight="1" s="33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4.25"/>
  <cols>
    <col width="12" customWidth="1" style="33" min="1" max="1"/>
    <col width="18" customWidth="1" style="33" min="2" max="2"/>
    <col width="60" customWidth="1" style="33" min="3" max="3"/>
    <col width="45" customWidth="1" style="33" min="4" max="4"/>
    <col width="60" customWidth="1" style="33" min="5" max="6"/>
    <col width="12" customWidth="1" style="33" min="7" max="7"/>
    <col width="40" customWidth="1" style="33" min="8" max="9"/>
    <col width="60" customWidth="1" style="33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  <row r="4">
      <c r="A4" s="12" t="n">
        <v>46134</v>
      </c>
      <c r="B4" t="inlineStr">
        <is>
          <t>MetaIntegration-PostAudit-Patch</t>
        </is>
      </c>
      <c r="C4" t="inlineStr">
        <is>
          <t>2026-04-22 post-integration audit of Methodology Prompt: 7 targeted changes. (1) V036 PCTECH added as T-group index-sleeve input — Neely-Rapach-Tu-Zhou 2014 MgmtSci; PL-NMA rank 9/54, BNMA DEPLOY_CONDITIONAL. (2) V030 DealerGamma citation corrected from Barbon-Buraschi (2021) — wrong paper, never in SR corpus — to Baltussen-Da-Lammers-Martens 2021 JFE + Zhu et al. 2024. (3) V014 BTC netflows construct-split note added (order-flow sub-construct tradable; vol-sort sub-construct EXCLUDE until separated). (4) V020 VRP operational note — DEPLOY_CONDITIONAL per SR (6 reviews, consensus 0.83) but held monitoring-only pending GWZ 2024 decay resolution. (5) V016 BTC funding PL-NMA vs BNMA contradiction documented; BNMA EXCLUDE verdict stands. (6) HMLDevil added to WATCH registry (gate: 3+ papers + post-2022 OOS). (7) New Systematic Review WATCH List section with 7 tracked candidates (HMLDevil, QMJ, OppInsider, LazyPrices, ADS_Nowcast, LM_Text, CieslakPovala) — explicit 2026-10-14 re-evaluation mandate.</t>
        </is>
      </c>
      <c r="D4" t="inlineStr">
        <is>
          <t>Methodology Prompt.md; bnma/meta-analysis/meta_results.json; bnma/meta-analysis/pl_nma_results.json; bnma/meta-analysis/BNMA-meta-analysis-2026-04-18.md</t>
        </is>
      </c>
      <c r="E4" t="inlineStr">
        <is>
          <t>VariableRegistry (V030 citation corrected row 31; V036 appended); MethodologyNotes (this row)</t>
        </is>
      </c>
      <c r="F4" t="inlineStr">
        <is>
          <t>V030 (citation); V036 (new); V014 (construct-split note); V020 (operational note); V016 (contradiction note); HMLDevil+6 watchlist variables (registered)</t>
        </is>
      </c>
      <c r="G4" t="inlineStr">
        <is>
          <t>YES</t>
        </is>
      </c>
      <c r="H4" t="inlineStr">
        <is>
          <t>Executed on delegated run approval (2026-04-22 session)</t>
        </is>
      </c>
      <c r="I4" t="inlineStr">
        <is>
          <t>Manual operator + post-integration audit</t>
        </is>
      </c>
      <c r="J4" t="inlineStr">
        <is>
          <t>Architecture v6 registry remains authoritative at V001-V035 (immutable per governance); V036 lives in Methodology Prompt + this sheet only until next architecture version. Downstream propagation: Trad core.md §30 citation corrected; scripts/compute_meta_additions.py line 218 grade string corrected. Dated files under 2026-04-XX/ NOT retroactively edited (paper trail). V036 data pipeline not yet scheduled — Phase 2 work gated on separate approval.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3"/>
  <sheetViews>
    <sheetView tabSelected="1" workbookViewId="0">
      <pane ySplit="1" topLeftCell="A2" activePane="bottomLeft" state="frozen"/>
      <selection pane="bottomLeft" activeCell="C27" sqref="C27"/>
    </sheetView>
  </sheetViews>
  <sheetFormatPr baseColWidth="8" defaultRowHeight="14.25"/>
  <cols>
    <col width="11.9296875" customWidth="1" style="33" min="1" max="1"/>
    <col width="12" customWidth="1" style="33" min="2" max="2"/>
    <col width="30" customWidth="1" style="33" min="3" max="3"/>
    <col width="8" customWidth="1" style="33" min="4" max="4"/>
    <col width="10" customWidth="1" style="33" min="5" max="5"/>
    <col width="5" customWidth="1" style="33" min="6" max="10"/>
    <col width="16" customWidth="1" style="33" min="11" max="11"/>
    <col width="10" customWidth="1" style="33" min="12" max="14"/>
    <col width="12" customWidth="1" style="33" min="15" max="15"/>
    <col width="10" customWidth="1" style="33" min="16" max="17"/>
    <col width="17" customWidth="1" style="33" min="18" max="19"/>
    <col width="12" customWidth="1" style="33" min="20" max="20"/>
    <col width="13" customWidth="1" style="33" min="21" max="24"/>
    <col width="72" customWidth="1" style="33" min="25" max="25"/>
  </cols>
  <sheetData>
    <row r="1" ht="30" customHeight="1" s="33">
      <c r="A1" s="15" t="inlineStr">
        <is>
          <t>H_ID</t>
        </is>
      </c>
      <c r="B1" s="15" t="inlineStr">
        <is>
          <t>Rec_Date</t>
        </is>
      </c>
      <c r="C1" s="15" t="inlineStr">
        <is>
          <t>Rec_File</t>
        </is>
      </c>
      <c r="D1" s="15" t="inlineStr">
        <is>
          <t>Asset</t>
        </is>
      </c>
      <c r="E1" s="15" t="inlineStr">
        <is>
          <t>Direction</t>
        </is>
      </c>
      <c r="F1" s="15" t="inlineStr">
        <is>
          <t>S</t>
        </is>
      </c>
      <c r="G1" s="15" t="inlineStr">
        <is>
          <t>T</t>
        </is>
      </c>
      <c r="H1" s="15" t="inlineStr">
        <is>
          <t>C</t>
        </is>
      </c>
      <c r="I1" s="15" t="inlineStr">
        <is>
          <t>R</t>
        </is>
      </c>
      <c r="J1" s="15" t="inlineStr">
        <is>
          <t>Sum</t>
        </is>
      </c>
      <c r="K1" s="15" t="inlineStr">
        <is>
          <t>Entry_Price_Rec</t>
        </is>
      </c>
      <c r="L1" s="15" t="inlineStr">
        <is>
          <t>Stop_Rec</t>
        </is>
      </c>
      <c r="M1" s="15" t="inlineStr">
        <is>
          <t>TP1_Rec</t>
        </is>
      </c>
      <c r="N1" s="15" t="inlineStr">
        <is>
          <t>TP2_Rec</t>
        </is>
      </c>
      <c r="O1" s="15" t="inlineStr">
        <is>
          <t>Inv_Date</t>
        </is>
      </c>
      <c r="P1" s="15" t="inlineStr">
        <is>
          <t>Size_Rec_%</t>
        </is>
      </c>
      <c r="Q1" s="15" t="inlineStr">
        <is>
          <t>Status</t>
        </is>
      </c>
      <c r="R1" s="15" t="inlineStr">
        <is>
          <t>Hypo_Entry_Price</t>
        </is>
      </c>
      <c r="S1" s="15" t="inlineStr">
        <is>
          <t>Hypo_Current_Price</t>
        </is>
      </c>
      <c r="T1" s="15" t="inlineStr">
        <is>
          <t>Hypo_PnL_%</t>
        </is>
      </c>
      <c r="U1" s="15" t="inlineStr">
        <is>
          <t>Actual_Taken</t>
        </is>
      </c>
      <c r="V1" s="15" t="inlineStr">
        <is>
          <t>Actual_Entry</t>
        </is>
      </c>
      <c r="W1" s="15" t="inlineStr">
        <is>
          <t>Actual_Exit</t>
        </is>
      </c>
      <c r="X1" s="15" t="inlineStr">
        <is>
          <t>Actual_PnL_%</t>
        </is>
      </c>
      <c r="Y1" s="15" t="inlineStr">
        <is>
          <t>Note</t>
        </is>
      </c>
    </row>
    <row r="2" ht="38.25" customHeight="1" s="33">
      <c r="A2" s="16" t="inlineStr">
        <is>
          <t>H001</t>
        </is>
      </c>
      <c r="B2" s="16" t="inlineStr">
        <is>
          <t>2026-04-15</t>
        </is>
      </c>
      <c r="C2" s="16" t="inlineStr">
        <is>
          <t>trade-rec-2026-04-15 v3</t>
        </is>
      </c>
      <c r="D2" s="16" t="inlineStr">
        <is>
          <t>EWY</t>
        </is>
      </c>
      <c r="E2" s="16" t="inlineStr">
        <is>
          <t>Long</t>
        </is>
      </c>
      <c r="F2" s="16" t="n">
        <v>1</v>
      </c>
      <c r="G2" s="16" t="n">
        <v>1</v>
      </c>
      <c r="H2" s="16" t="n">
        <v>1</v>
      </c>
      <c r="I2" s="16" t="n">
        <v>0</v>
      </c>
      <c r="J2" s="16" t="n">
        <v>3</v>
      </c>
      <c r="K2" s="17" t="n">
        <v>146</v>
      </c>
      <c r="L2" s="17" t="n">
        <v>133</v>
      </c>
      <c r="M2" s="17" t="n">
        <v>156</v>
      </c>
      <c r="N2" s="17" t="n">
        <v>166</v>
      </c>
      <c r="O2" s="16" t="inlineStr">
        <is>
          <t>2026-05-13</t>
        </is>
      </c>
      <c r="P2" s="18" t="n">
        <v>0.015</v>
      </c>
      <c r="Q2" s="19" t="inlineStr">
        <is>
          <t>OPEN</t>
        </is>
      </c>
      <c r="R2" s="17" t="n">
        <v>146</v>
      </c>
      <c r="S2" s="17" t="n">
        <v>150.09</v>
      </c>
      <c r="T2" s="20">
        <f>(S2-R2)/R2</f>
        <v/>
      </c>
      <c r="U2" s="16" t="inlineStr">
        <is>
          <t>YES</t>
        </is>
      </c>
      <c r="V2" s="17" t="n">
        <v>144.1</v>
      </c>
      <c r="W2" s="17" t="n">
        <v>145.39</v>
      </c>
      <c r="X2" s="18" t="n">
        <v>0.0092</v>
      </c>
      <c r="Y2" s="21" t="inlineStr">
        <is>
          <t>Actual stop moved too tight (~breakeven). Methodology stop $133 never hit. Hypo at rec midpoint $146 still open. Current $152.33 (Apr-21). Hypo +4.34% vs actual +0.92%.</t>
        </is>
      </c>
    </row>
    <row r="3" ht="38.25" customHeight="1" s="33">
      <c r="A3" s="16" t="inlineStr">
        <is>
          <t>H002</t>
        </is>
      </c>
      <c r="B3" s="16" t="inlineStr">
        <is>
          <t>2026-04-15</t>
        </is>
      </c>
      <c r="C3" s="16" t="inlineStr">
        <is>
          <t>trade-rec-2026-04-15 v2-&gt;v3</t>
        </is>
      </c>
      <c r="D3" s="16" t="inlineStr">
        <is>
          <t>TSM</t>
        </is>
      </c>
      <c r="E3" s="16" t="inlineStr">
        <is>
          <t>Long</t>
        </is>
      </c>
      <c r="F3" s="16" t="n">
        <v>1</v>
      </c>
      <c r="G3" s="16" t="n">
        <v>1</v>
      </c>
      <c r="H3" s="16" t="n">
        <v>1</v>
      </c>
      <c r="I3" s="16" t="n">
        <v>0</v>
      </c>
      <c r="J3" s="16" t="n">
        <v>3</v>
      </c>
      <c r="K3" s="16" t="n"/>
      <c r="L3" s="16" t="n"/>
      <c r="M3" s="16" t="n"/>
      <c r="N3" s="16" t="n"/>
      <c r="O3" s="16" t="n"/>
      <c r="P3" s="18" t="n">
        <v>0.01</v>
      </c>
      <c r="Q3" s="22" t="inlineStr">
        <is>
          <t>VOIDED</t>
        </is>
      </c>
      <c r="R3" s="16" t="n"/>
      <c r="S3" s="16" t="n"/>
      <c r="T3" s="16" t="n"/>
      <c r="U3" s="16" t="inlineStr">
        <is>
          <t>NO</t>
        </is>
      </c>
      <c r="V3" s="16" t="n"/>
      <c r="W3" s="16" t="n"/>
      <c r="X3" s="16" t="n"/>
      <c r="Y3" s="21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 ht="25.5" customHeight="1" s="33">
      <c r="A4" s="16" t="inlineStr">
        <is>
          <t>H003</t>
        </is>
      </c>
      <c r="B4" s="16" t="inlineStr">
        <is>
          <t>2026-04-15</t>
        </is>
      </c>
      <c r="C4" s="16" t="inlineStr">
        <is>
          <t>trade-rec-2026-04-15 v3</t>
        </is>
      </c>
      <c r="D4" s="16" t="inlineStr">
        <is>
          <t>INTC</t>
        </is>
      </c>
      <c r="E4" s="16" t="inlineStr">
        <is>
          <t>Long</t>
        </is>
      </c>
      <c r="F4" s="16" t="n">
        <v>1</v>
      </c>
      <c r="G4" s="16" t="n">
        <v>1</v>
      </c>
      <c r="H4" s="16" t="n">
        <v>1</v>
      </c>
      <c r="I4" s="16" t="n">
        <v>0</v>
      </c>
      <c r="J4" s="16" t="n">
        <v>3</v>
      </c>
      <c r="K4" s="17" t="n">
        <v>62</v>
      </c>
      <c r="L4" s="17" t="n">
        <v>56</v>
      </c>
      <c r="M4" s="17" t="n">
        <v>70</v>
      </c>
      <c r="N4" s="17" t="n">
        <v>77</v>
      </c>
      <c r="O4" s="16" t="inlineStr">
        <is>
          <t>2026-05-13</t>
        </is>
      </c>
      <c r="P4" s="18" t="n">
        <v>0.01</v>
      </c>
      <c r="Q4" s="19" t="inlineStr">
        <is>
          <t>OPEN</t>
        </is>
      </c>
      <c r="R4" s="17" t="n">
        <v>62</v>
      </c>
      <c r="S4" s="17" t="n">
        <v>67</v>
      </c>
      <c r="T4" s="20">
        <f>(S4-R4)/R4</f>
        <v/>
      </c>
      <c r="U4" s="16" t="inlineStr">
        <is>
          <t>YES</t>
        </is>
      </c>
      <c r="V4" s="17" t="n">
        <v>64.68000000000001</v>
      </c>
      <c r="W4" s="17" t="n">
        <v>68.26000000000001</v>
      </c>
      <c r="X4" s="18" t="n">
        <v>0.0209</v>
      </c>
      <c r="Y4" s="21" t="inlineStr">
        <is>
          <t>Actual exited early Apr-19 at $68.26 before Apr-23 earnings. Hypo at rec midpoint $62 still open (stop $56, inv May-13). Current ~$68 -&gt; hypo +9.68% vs actual +2.09%.</t>
        </is>
      </c>
    </row>
    <row r="5" ht="25.5" customHeight="1" s="33">
      <c r="A5" s="16" t="inlineStr">
        <is>
          <t>H004</t>
        </is>
      </c>
      <c r="B5" s="16" t="inlineStr">
        <is>
          <t>2026-04-16</t>
        </is>
      </c>
      <c r="C5" s="16" t="inlineStr">
        <is>
          <t>trade-rec-2026-04-16 v3</t>
        </is>
      </c>
      <c r="D5" s="16" t="inlineStr">
        <is>
          <t>Gold</t>
        </is>
      </c>
      <c r="E5" s="16" t="inlineStr">
        <is>
          <t>Long</t>
        </is>
      </c>
      <c r="F5" s="16" t="n">
        <v>1</v>
      </c>
      <c r="G5" s="16" t="n">
        <v>1</v>
      </c>
      <c r="H5" s="16" t="n">
        <v>1</v>
      </c>
      <c r="I5" s="16" t="n">
        <v>0</v>
      </c>
      <c r="J5" s="16" t="n">
        <v>3</v>
      </c>
      <c r="K5" s="17" t="n">
        <v>4830</v>
      </c>
      <c r="L5" s="17" t="n">
        <v>4640</v>
      </c>
      <c r="M5" s="17" t="n">
        <v>4990</v>
      </c>
      <c r="N5" s="17" t="n">
        <v>5140</v>
      </c>
      <c r="O5" s="16" t="inlineStr">
        <is>
          <t>2026-05-14</t>
        </is>
      </c>
      <c r="P5" s="18" t="n">
        <v>0.0075</v>
      </c>
      <c r="Q5" s="19" t="inlineStr">
        <is>
          <t>OPEN</t>
        </is>
      </c>
      <c r="R5" s="17" t="n">
        <v>4830</v>
      </c>
      <c r="S5" s="17" t="n">
        <v>4785.16</v>
      </c>
      <c r="T5" s="20">
        <f>(S5-R5)/R5</f>
        <v/>
      </c>
      <c r="U5" s="16" t="inlineStr">
        <is>
          <t>YES</t>
        </is>
      </c>
      <c r="V5" s="17" t="n">
        <v>4780.69</v>
      </c>
      <c r="W5" s="17" t="n">
        <v>4823.65</v>
      </c>
      <c r="X5" s="18" t="n">
        <v>0.008</v>
      </c>
      <c r="Y5" s="21" t="inlineStr">
        <is>
          <t>Actual exited early Apr-18 before Iran ceasefire binary (Apr-22). Hypo at zone midpoint $4,830. Current $4,808 (-0.46%). Stop $4,640 not hit; inv May-14. Actual +0.80%.</t>
        </is>
      </c>
    </row>
    <row r="6" ht="38.25" customHeight="1" s="33">
      <c r="A6" s="16" t="inlineStr">
        <is>
          <t>H005</t>
        </is>
      </c>
      <c r="B6" s="16" t="inlineStr">
        <is>
          <t>2026-04-16</t>
        </is>
      </c>
      <c r="C6" s="16" t="inlineStr">
        <is>
          <t>trade-rec-2026-04-16 v3</t>
        </is>
      </c>
      <c r="D6" s="16" t="inlineStr">
        <is>
          <t>QQQ</t>
        </is>
      </c>
      <c r="E6" s="16" t="inlineStr">
        <is>
          <t>Long</t>
        </is>
      </c>
      <c r="F6" s="16" t="n">
        <v>1</v>
      </c>
      <c r="G6" s="16" t="n">
        <v>1</v>
      </c>
      <c r="H6" s="16" t="n">
        <v>1</v>
      </c>
      <c r="I6" s="16" t="n">
        <v>1</v>
      </c>
      <c r="J6" s="16" t="n">
        <v>4</v>
      </c>
      <c r="K6" s="17" t="n">
        <v>637.4</v>
      </c>
      <c r="L6" s="17" t="n">
        <v>597</v>
      </c>
      <c r="M6" s="16" t="n"/>
      <c r="N6" s="16" t="n"/>
      <c r="O6" s="16" t="inlineStr">
        <is>
          <t>2026-05-14</t>
        </is>
      </c>
      <c r="P6" s="18" t="n">
        <v>0.005</v>
      </c>
      <c r="Q6" s="23" t="inlineStr">
        <is>
          <t>FLAGGED</t>
        </is>
      </c>
      <c r="R6" s="17" t="n">
        <v>637.4</v>
      </c>
      <c r="S6" s="17" t="n">
        <v>646.79</v>
      </c>
      <c r="T6" s="20">
        <f>(S6-R6)/R6</f>
        <v/>
      </c>
      <c r="U6" s="16" t="inlineStr">
        <is>
          <t>YES</t>
        </is>
      </c>
      <c r="V6" s="17" t="n">
        <v>640.09</v>
      </c>
      <c r="W6" s="17" t="n">
        <v>643.02</v>
      </c>
      <c r="X6" s="18" t="n">
        <v>0.0113</v>
      </c>
      <c r="Y6" s="21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 ht="38.25" customHeight="1" s="33">
      <c r="A7" s="16" t="inlineStr">
        <is>
          <t>H006</t>
        </is>
      </c>
      <c r="B7" s="16" t="inlineStr">
        <is>
          <t>2026-04-20</t>
        </is>
      </c>
      <c r="C7" s="16" t="inlineStr">
        <is>
          <t>trade-rec-2026-04-20 v3</t>
        </is>
      </c>
      <c r="D7" s="16" t="inlineStr">
        <is>
          <t>SPY</t>
        </is>
      </c>
      <c r="E7" s="16" t="inlineStr">
        <is>
          <t>Long</t>
        </is>
      </c>
      <c r="F7" s="16" t="n">
        <v>1</v>
      </c>
      <c r="G7" s="16" t="n">
        <v>1</v>
      </c>
      <c r="H7" s="16" t="n">
        <v>0</v>
      </c>
      <c r="I7" s="16" t="n">
        <v>1</v>
      </c>
      <c r="J7" s="16" t="n">
        <v>3</v>
      </c>
      <c r="K7" s="17" t="n">
        <v>710.14</v>
      </c>
      <c r="L7" s="17" t="n">
        <v>696</v>
      </c>
      <c r="M7" s="17" t="n">
        <v>720</v>
      </c>
      <c r="N7" s="17" t="n">
        <v>730</v>
      </c>
      <c r="O7" s="16" t="inlineStr">
        <is>
          <t>2026-05-13</t>
        </is>
      </c>
      <c r="P7" s="18" t="n">
        <v>0.01</v>
      </c>
      <c r="Q7" s="19" t="inlineStr">
        <is>
          <t>OPEN</t>
        </is>
      </c>
      <c r="R7" s="17" t="n">
        <v>710.14</v>
      </c>
      <c r="S7" s="17" t="n">
        <v>706.14</v>
      </c>
      <c r="T7" s="20">
        <f>(S7-R7)/R7</f>
        <v/>
      </c>
      <c r="U7" s="16" t="inlineStr">
        <is>
          <t>YES</t>
        </is>
      </c>
      <c r="V7" s="17" t="n">
        <v>710.17</v>
      </c>
      <c r="W7" s="16" t="n"/>
      <c r="X7" s="16" t="n"/>
      <c r="Y7" s="21" t="inlineStr">
        <is>
          <t>Actual filled avg $710.17 (4 tranches Apr-21). Open. Current ~$706 (Apr-22 09:23) -&gt; hypo -0.58%. Stop $696 not hit. Half-size: C=0 + IC z MISSING at rec time + FOMC Apr-28 tail.</t>
        </is>
      </c>
    </row>
    <row r="8" ht="25.5" customHeight="1" s="33">
      <c r="A8" s="16" t="inlineStr">
        <is>
          <t>H007</t>
        </is>
      </c>
      <c r="B8" s="16" t="inlineStr">
        <is>
          <t>2026-04-21</t>
        </is>
      </c>
      <c r="C8" s="16" t="inlineStr">
        <is>
          <t>trade-rec-2026-04-21 v2</t>
        </is>
      </c>
      <c r="D8" s="16" t="inlineStr">
        <is>
          <t>EWJ</t>
        </is>
      </c>
      <c r="E8" s="16" t="inlineStr">
        <is>
          <t>Long</t>
        </is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3</v>
      </c>
      <c r="K8" s="17" t="n">
        <v>90.23999999999999</v>
      </c>
      <c r="L8" s="17" t="n">
        <v>86</v>
      </c>
      <c r="M8" s="17" t="n">
        <v>95</v>
      </c>
      <c r="N8" s="17" t="n">
        <v>98</v>
      </c>
      <c r="O8" s="16" t="inlineStr">
        <is>
          <t>2026-06-30</t>
        </is>
      </c>
      <c r="P8" s="18" t="n">
        <v>0.0075</v>
      </c>
      <c r="Q8" s="19" t="inlineStr">
        <is>
          <t>OPEN</t>
        </is>
      </c>
      <c r="R8" s="17" t="n">
        <v>90.23999999999999</v>
      </c>
      <c r="S8" s="17" t="n">
        <v>89.18000000000001</v>
      </c>
      <c r="T8" s="20">
        <f>(S8-R8)/R8</f>
        <v/>
      </c>
      <c r="U8" s="16" t="inlineStr">
        <is>
          <t>YES</t>
        </is>
      </c>
      <c r="V8" s="17" t="n">
        <v>88.44</v>
      </c>
      <c r="W8" s="16" t="n"/>
      <c r="X8" s="16" t="n"/>
      <c r="Y8" s="21" t="inlineStr">
        <is>
          <t>Actual filled avg $88.44 (~2.2% below rec estimate $90.24). Open. Current ~$89.18 (Apr-22) -&gt; hypo -1.17% / actual +0.84%. Stop $86 not hit; inv Jun-30.</t>
        </is>
      </c>
    </row>
    <row r="9" ht="38.25" customHeight="1" s="33">
      <c r="A9" s="16" t="inlineStr">
        <is>
          <t>H008</t>
        </is>
      </c>
      <c r="B9" s="16" t="inlineStr">
        <is>
          <t>2026-04-21</t>
        </is>
      </c>
      <c r="C9" s="16" t="inlineStr">
        <is>
          <t>trade-rec-2026-04-21 v2</t>
        </is>
      </c>
      <c r="D9" s="16" t="inlineStr">
        <is>
          <t>INTC</t>
        </is>
      </c>
      <c r="E9" s="16" t="inlineStr">
        <is>
          <t>Long</t>
        </is>
      </c>
      <c r="F9" s="16" t="n">
        <v>1</v>
      </c>
      <c r="G9" s="16" t="n">
        <v>1</v>
      </c>
      <c r="H9" s="16" t="n">
        <v>1</v>
      </c>
      <c r="I9" s="16" t="n">
        <v>1</v>
      </c>
      <c r="J9" s="16" t="n">
        <v>4</v>
      </c>
      <c r="K9" s="17" t="n">
        <v>69</v>
      </c>
      <c r="L9" s="17" t="n">
        <v>64</v>
      </c>
      <c r="M9" s="17" t="n">
        <v>75</v>
      </c>
      <c r="N9" s="17" t="n">
        <v>82</v>
      </c>
      <c r="O9" s="16" t="inlineStr">
        <is>
          <t>2026-06-23</t>
        </is>
      </c>
      <c r="P9" s="18" t="n">
        <v>0.01</v>
      </c>
      <c r="Q9" s="24" t="inlineStr">
        <is>
          <t>FLAGGED</t>
        </is>
      </c>
      <c r="R9" s="16" t="n"/>
      <c r="S9" s="16" t="n"/>
      <c r="T9" s="16" t="n"/>
      <c r="U9" s="16" t="inlineStr">
        <is>
          <t>NO</t>
        </is>
      </c>
      <c r="V9" s="16" t="n"/>
      <c r="W9" s="16" t="n"/>
      <c r="X9" s="16" t="n"/>
      <c r="Y9" s="21" t="inlineStr">
        <is>
          <t>P013. Entry AFTER Apr-23 AC beat confirmation (~$68-72 limit). Sum+4 -- highest conviction. Terafab foundry validation thesis. Entry gate: INTC beat + Terafab milestone. Inv 2026-06-23. | FLAGGED 2026-04-24: post-earnings gap to ~$80 blew past $68-72 entry zone. Sum+4 counterfactual retained for system-efficacy measurement — do NOT mark PnL against hypo entry; use exit at FLAGGED_date price for reference.</t>
        </is>
      </c>
    </row>
    <row r="10" ht="38.25" customHeight="1" s="33">
      <c r="A10" s="16" t="inlineStr">
        <is>
          <t>H009</t>
        </is>
      </c>
      <c r="B10" s="16" t="inlineStr">
        <is>
          <t>2026-04-21</t>
        </is>
      </c>
      <c r="C10" s="16" t="inlineStr">
        <is>
          <t>trade-rec-2026-04-21 v2</t>
        </is>
      </c>
      <c r="D10" s="16" t="inlineStr">
        <is>
          <t>AAPL</t>
        </is>
      </c>
      <c r="E10" s="16" t="inlineStr">
        <is>
          <t>Long</t>
        </is>
      </c>
      <c r="F10" s="16" t="n">
        <v>1</v>
      </c>
      <c r="G10" s="16" t="n">
        <v>1</v>
      </c>
      <c r="H10" s="16" t="n">
        <v>0</v>
      </c>
      <c r="I10" s="16" t="n">
        <v>1</v>
      </c>
      <c r="J10" s="16" t="n">
        <v>3</v>
      </c>
      <c r="K10" s="17" t="n">
        <v>272.5</v>
      </c>
      <c r="L10" s="17" t="n">
        <v>265.75</v>
      </c>
      <c r="M10" s="17" t="n">
        <v>280</v>
      </c>
      <c r="N10" s="17" t="n">
        <v>290</v>
      </c>
      <c r="O10" s="16" t="inlineStr">
        <is>
          <t>2026-04-30</t>
        </is>
      </c>
      <c r="P10" s="18" t="n">
        <v>0.0075</v>
      </c>
      <c r="Q10" s="24" t="inlineStr">
        <is>
          <t>OPEN</t>
        </is>
      </c>
      <c r="R10" s="16" t="n">
        <v>274.62</v>
      </c>
      <c r="S10" s="16" t="n"/>
      <c r="T10" s="16" t="n"/>
      <c r="U10" s="16" t="inlineStr">
        <is>
          <t>YES</t>
        </is>
      </c>
      <c r="V10" s="16" t="n">
        <v>274.62</v>
      </c>
      <c r="W10" s="16" t="n"/>
      <c r="X10" s="16" t="n"/>
      <c r="Y10" s="21" t="inlineStr">
        <is>
          <t>P014. Limit ~$271-274. Stop ~$264-267 (2x ATR). HARD time-stop 2026-04-30 -- MUST exit before May-1 earnings. C=0; edge is structural momentum only. In zone at $273 (Apr-22). | FILLED 2026-04-23 20:45 UTC+8 avg $274.62 (2 tranches). Actual = Hypo (no slippage vs rec mid $272.50; entry at top of zone).</t>
        </is>
      </c>
    </row>
    <row r="11" ht="38.25" customHeight="1" s="33">
      <c r="A11" s="16" t="inlineStr">
        <is>
          <t>H010</t>
        </is>
      </c>
      <c r="B11" s="16" t="inlineStr">
        <is>
          <t>2026-04-21</t>
        </is>
      </c>
      <c r="C11" s="16" t="inlineStr">
        <is>
          <t>trade-rec-2026-04-21 v2</t>
        </is>
      </c>
      <c r="D11" s="16" t="inlineStr">
        <is>
          <t>GOOGL</t>
        </is>
      </c>
      <c r="E11" s="16" t="inlineStr">
        <is>
          <t>Long</t>
        </is>
      </c>
      <c r="F11" s="16" t="n">
        <v>1</v>
      </c>
      <c r="G11" s="16" t="n">
        <v>0</v>
      </c>
      <c r="H11" s="16" t="n">
        <v>1</v>
      </c>
      <c r="I11" s="16" t="n">
        <v>1</v>
      </c>
      <c r="J11" s="16" t="n">
        <v>3</v>
      </c>
      <c r="K11" s="17" t="n">
        <v>335.5</v>
      </c>
      <c r="L11" s="17" t="n">
        <v>317</v>
      </c>
      <c r="M11" s="17" t="n">
        <v>355</v>
      </c>
      <c r="N11" s="17" t="n">
        <v>375</v>
      </c>
      <c r="O11" s="16" t="inlineStr">
        <is>
          <t>2026-05-15</t>
        </is>
      </c>
      <c r="P11" s="18" t="n">
        <v>0.0075</v>
      </c>
      <c r="Q11" s="24" t="inlineStr">
        <is>
          <t>PENDING</t>
        </is>
      </c>
      <c r="R11" s="16" t="n"/>
      <c r="S11" s="16" t="n"/>
      <c r="T11" s="16" t="n"/>
      <c r="U11" s="16" t="inlineStr">
        <is>
          <t>PENDING</t>
        </is>
      </c>
      <c r="V11" s="16" t="n"/>
      <c r="W11" s="16" t="n"/>
      <c r="X11" s="16" t="n"/>
      <c r="Y11" s="21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>
      <c r="A12" s="30" t="inlineStr">
        <is>
          <t>H011</t>
        </is>
      </c>
      <c r="B12" s="31" t="n">
        <v>46128</v>
      </c>
      <c r="C12" s="30" t="inlineStr">
        <is>
          <t>trade-rec-2026-04-16 v3</t>
        </is>
      </c>
      <c r="D12" s="30" t="inlineStr">
        <is>
          <t>GOOGL</t>
        </is>
      </c>
      <c r="E12" s="30" t="inlineStr">
        <is>
          <t>Long</t>
        </is>
      </c>
      <c r="F12" s="30" t="n">
        <v>1</v>
      </c>
      <c r="G12" s="30" t="n">
        <v>1</v>
      </c>
      <c r="H12" s="30" t="n">
        <v>1</v>
      </c>
      <c r="I12" s="30" t="n">
        <v>0</v>
      </c>
      <c r="J12" s="30" t="n">
        <v>3</v>
      </c>
      <c r="K12" s="30" t="n">
        <v>337.12</v>
      </c>
      <c r="L12" s="30" t="n">
        <v>297</v>
      </c>
      <c r="M12" s="30" t="n">
        <v>360</v>
      </c>
      <c r="N12" s="30" t="n">
        <v>380</v>
      </c>
      <c r="O12" s="30" t="inlineStr">
        <is>
          <t>2026-05-14</t>
        </is>
      </c>
      <c r="P12" s="30" t="n">
        <v>0.005</v>
      </c>
      <c r="Q12" s="30" t="inlineStr">
        <is>
          <t>FLAGGED</t>
        </is>
      </c>
      <c r="R12" s="30" t="n">
        <v>337.12</v>
      </c>
      <c r="S12" s="30" t="n">
        <v>337.42</v>
      </c>
      <c r="T12" s="30">
        <f>(S12-R12)/R12</f>
        <v/>
      </c>
      <c r="U12" s="30" t="inlineStr">
        <is>
          <t>NO</t>
        </is>
      </c>
      <c r="V12" s="30" t="n"/>
      <c r="W12" s="30" t="n"/>
      <c r="X12" s="30" t="n"/>
      <c r="Y12" s="30" t="inlineStr">
        <is>
          <t>Flagged Sum+3 Apr-16 (residual +30.52%, T unblocked). Not promoted: correlation gate (EWY+INTC+GOOGL equity heat ~13.75%) + post-rally entry risk (+6.01% same day) + FOMC Apr-28 timing. Earnings Apr-22 now past. H010 = Apr-21 PENDING re-entry (post-earnings contingent).</t>
        </is>
      </c>
    </row>
    <row r="13">
      <c r="A13" s="30" t="inlineStr">
        <is>
          <t>H012</t>
        </is>
      </c>
      <c r="B13" s="31" t="n">
        <v>46128</v>
      </c>
      <c r="C13" s="30" t="inlineStr">
        <is>
          <t>trade-rec-2026-04-16 v3</t>
        </is>
      </c>
      <c r="D13" s="30" t="inlineStr">
        <is>
          <t>SPY</t>
        </is>
      </c>
      <c r="E13" s="30" t="inlineStr">
        <is>
          <t>Long</t>
        </is>
      </c>
      <c r="F13" s="30" t="n">
        <v>1</v>
      </c>
      <c r="G13" s="30" t="n">
        <v>1</v>
      </c>
      <c r="H13" s="30" t="n">
        <v>0</v>
      </c>
      <c r="I13" s="30" t="n">
        <v>1</v>
      </c>
      <c r="J13" s="30" t="n">
        <v>3</v>
      </c>
      <c r="K13" s="30" t="n">
        <v>699.9400000000001</v>
      </c>
      <c r="L13" s="30" t="n">
        <v>685</v>
      </c>
      <c r="M13" s="30" t="n">
        <v>720</v>
      </c>
      <c r="N13" s="30" t="n">
        <v>740</v>
      </c>
      <c r="O13" s="30" t="inlineStr">
        <is>
          <t>2026-05-14</t>
        </is>
      </c>
      <c r="P13" s="30" t="n">
        <v>0.005</v>
      </c>
      <c r="Q13" s="30" t="inlineStr">
        <is>
          <t>FLAGGED</t>
        </is>
      </c>
      <c r="R13" s="30" t="n">
        <v>699.9400000000001</v>
      </c>
      <c r="S13" s="30" t="n">
        <v>706.14</v>
      </c>
      <c r="T13" s="30">
        <f>(S13-R13)/R13</f>
        <v/>
      </c>
      <c r="U13" s="30" t="inlineStr">
        <is>
          <t>NO</t>
        </is>
      </c>
      <c r="V13" s="30" t="n"/>
      <c r="W13" s="30" t="n"/>
      <c r="X13" s="30" t="n"/>
      <c r="Y13" s="30" t="inlineStr">
        <is>
          <t>Flagged Sum+3 Apr-16. Not promoted: dominated by open QQQ position (same broad equity risk-on regime variable). Apr-17 rec explicitly blocks via correlation gate (Risk Rules §5 item 3). Formally promoted 4 days later at $710.14 (H006 Apr-20). Counterfactual: Apr-16 FLAGGED entry $699.94 vs Apr-20 formal entry $710.14 = $10.20/share better entry. Hypo +0.89% vs H006 hypo -0.56% as of Apr-22.</t>
        </is>
      </c>
    </row>
    <row r="14">
      <c r="A14" t="inlineStr">
        <is>
          <t>H013</t>
        </is>
      </c>
      <c r="B14" s="34" t="n">
        <v>46134</v>
      </c>
      <c r="C14" t="inlineStr">
        <is>
          <t>trade-rec-2026-04-22 v1</t>
        </is>
      </c>
      <c r="D14" t="inlineStr">
        <is>
          <t>Brent</t>
        </is>
      </c>
      <c r="E14" t="inlineStr">
        <is>
          <t>Long</t>
        </is>
      </c>
      <c r="F14" t="n">
        <v>1</v>
      </c>
      <c r="G14" t="n">
        <v>1</v>
      </c>
      <c r="H14" t="n">
        <v>0</v>
      </c>
      <c r="I14" t="n">
        <v>1</v>
      </c>
      <c r="J14" t="n">
        <v>3</v>
      </c>
      <c r="K14" t="n">
        <v>94.25</v>
      </c>
      <c r="L14" t="n">
        <v>90.5</v>
      </c>
      <c r="M14" t="n">
        <v>98</v>
      </c>
      <c r="N14" t="n">
        <v>102</v>
      </c>
      <c r="O14" s="34" t="n">
        <v>46164</v>
      </c>
      <c r="P14" t="n">
        <v>0.0075</v>
      </c>
      <c r="Q14" t="inlineStr">
        <is>
          <t>PENDING</t>
        </is>
      </c>
      <c r="R14" t="n">
        <v>94.25</v>
      </c>
      <c r="U14" t="inlineStr">
        <is>
          <t>PENDING</t>
        </is>
      </c>
      <c r="Y14" t="inlineStr">
        <is>
          <t>Commodity sleeve CONFIRMED ON first time; primary post-gate promotion; corr+binary haircut 0.75%</t>
        </is>
      </c>
    </row>
    <row r="15">
      <c r="A15" s="25" t="inlineStr">
        <is>
          <t>PERFORMANCE SUMMARY (auto-updated by signal-review)</t>
        </is>
      </c>
    </row>
    <row r="16">
      <c r="A16" s="26" t="inlineStr">
        <is>
          <t>Formally Promoted (OPEN+PENDING+FLAGGED)</t>
        </is>
      </c>
      <c r="B16" s="27">
        <f>COUNTIF(Q2:Q13,"OPEN")+COUNTIF(Q2:Q13,"PENDING")+COUNTIF(Q2:Q13,"FLAGGED")</f>
        <v/>
      </c>
    </row>
    <row r="17">
      <c r="A17" s="26" t="inlineStr">
        <is>
          <t>OPEN (marked-to-market)</t>
        </is>
      </c>
      <c r="B17" s="27">
        <f>COUNTIF(Q2:Q13,"OPEN")</f>
        <v/>
      </c>
    </row>
    <row r="18">
      <c r="A18" s="26" t="inlineStr">
        <is>
          <t>PENDING (entry trigger)</t>
        </is>
      </c>
      <c r="B18" s="27">
        <f>COUNTIF(Q2:Q13,"PENDING")</f>
        <v/>
      </c>
    </row>
    <row r="19">
      <c r="A19" s="26" t="inlineStr">
        <is>
          <t>VOIDED (de-promoted same session)</t>
        </is>
      </c>
      <c r="B19" s="27">
        <f>COUNTIF(Q2:Q13,"VOIDED")</f>
        <v/>
      </c>
    </row>
    <row r="20">
      <c r="A20" s="26" t="inlineStr">
        <is>
          <t>FLAGGED (Sum&gt;=3, not formally promoted)</t>
        </is>
      </c>
      <c r="B20" s="27">
        <f>COUNTIF(Q2:Q13,"FLAGGED")</f>
        <v/>
      </c>
    </row>
    <row r="21">
      <c r="A21" s="26" t="inlineStr">
        <is>
          <t>Hypo Avg PnL% -- OPEN signals</t>
        </is>
      </c>
      <c r="B21" s="28">
        <f>AVERAGEIF(Q2:Q13,"OPEN",T2:T13)</f>
        <v/>
      </c>
    </row>
    <row r="22">
      <c r="A22" s="26" t="inlineStr">
        <is>
          <t>Actual Avg PnL% -- closed YES</t>
        </is>
      </c>
      <c r="B22" s="28">
        <f>AVERAGEIFS(X2:X13,U2:U13,"YES",W2:W13,"&lt;&gt;"&amp;"")</f>
        <v/>
      </c>
    </row>
    <row r="23">
      <c r="A23" s="26" t="inlineStr">
        <is>
          <t>Last updated</t>
        </is>
      </c>
      <c r="B23" s="27">
        <f>TEXT(NOW(),"YYYY-MM-DD HH:MM UTC+8")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2026-04-24T00:20:59Z</dcterms:modified>
  <cp:lastModifiedBy>Gerald Yiu</cp:lastModifiedBy>
  <cp:revision>0</cp:revision>
</cp:coreProperties>
</file>