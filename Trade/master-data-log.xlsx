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2" activeTab="6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6"/>
  <sheetViews>
    <sheetView zoomScaleNormal="100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77"/>
  </cols>
  <sheetData>
    <row r="1" ht="35.1" customHeight="1" s="15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15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15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15" min="1" max="1"/>
    <col width="10" customWidth="1" style="15" min="2" max="2"/>
    <col width="12" customWidth="1" style="15" min="3" max="3"/>
    <col width="8" customWidth="1" style="15" min="4" max="4"/>
    <col width="12" customWidth="1" style="15" min="5" max="5"/>
    <col width="8" customWidth="1" style="15" min="6" max="6"/>
    <col width="4" customWidth="1" style="15" min="7" max="10"/>
    <col width="5" customWidth="1" style="15" min="11" max="11"/>
    <col width="12" customWidth="1" style="15" min="12" max="12"/>
    <col width="10" customWidth="1" style="15" min="13" max="13"/>
    <col width="12" customWidth="1" style="15" min="14" max="15"/>
    <col width="30" customWidth="1" style="15" min="16" max="16"/>
    <col width="12" customWidth="1" style="15" min="17" max="17"/>
    <col width="10" customWidth="1" style="15" min="18" max="18"/>
    <col width="35" customWidth="1" style="15" min="19" max="19"/>
    <col width="10" customWidth="1" style="15" min="20" max="20"/>
    <col width="30" customWidth="1" style="15" min="21" max="21"/>
    <col width="12" customWidth="1" style="15" min="22" max="25"/>
    <col width="10" customWidth="1" style="15" min="26" max="26"/>
    <col width="8" customWidth="1" style="15" min="27" max="28"/>
    <col width="14" customWidth="1" style="15" min="29" max="29"/>
    <col width="10" customWidth="1" style="15" min="30" max="30"/>
    <col width="30" customWidth="1" style="15" min="31" max="31"/>
    <col width="40" customWidth="1" style="15" min="32" max="32"/>
  </cols>
  <sheetData>
    <row r="1" ht="35.1" customHeight="1" s="15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15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15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15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15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15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15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15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15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15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15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15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15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15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15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15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15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15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6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6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OPEN</t>
        </is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710.14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PENDING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40" customWidth="1" style="15" min="2" max="2"/>
    <col width="14" customWidth="1" style="15" min="3" max="4"/>
    <col width="20" customWidth="1" style="15" min="5" max="5"/>
    <col width="14" customWidth="1" style="15" min="6" max="8"/>
    <col width="20" customWidth="1" style="15" min="9" max="10"/>
    <col width="25" customWidth="1" style="15" min="11" max="13"/>
    <col width="20" customWidth="1" style="15" min="14" max="14"/>
    <col width="12" customWidth="1" style="15" min="15" max="15"/>
    <col width="30" customWidth="1" style="15" min="16" max="16"/>
  </cols>
  <sheetData>
    <row r="1" ht="23.85" customHeight="1" s="15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15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15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15" min="1" max="1"/>
    <col width="25" customWidth="1" style="15" min="2" max="2"/>
    <col width="40" customWidth="1" style="15" min="3" max="3"/>
    <col width="14" customWidth="1" style="15" min="4" max="5"/>
    <col width="10" customWidth="1" style="15" min="6" max="6"/>
    <col width="14" customWidth="1" style="15" min="7" max="9"/>
    <col width="18" customWidth="1" style="15" min="10" max="10"/>
    <col width="12" customWidth="1" style="15" min="11" max="11"/>
    <col width="20" customWidth="1" style="15" min="12" max="12"/>
    <col width="30" customWidth="1" style="15" min="13" max="13"/>
    <col width="40" customWidth="1" style="15" min="14" max="14"/>
    <col width="12" customWidth="1" style="15" min="15" max="16"/>
    <col width="14" customWidth="1" style="15" min="17" max="18"/>
    <col width="16" customWidth="1" style="15" min="19" max="19"/>
    <col width="12" customWidth="1" style="15" min="20" max="22"/>
    <col width="14" customWidth="1" style="15" min="23" max="23"/>
    <col width="30" customWidth="1" style="15" min="24" max="24"/>
    <col width="20" customWidth="1" style="15" min="25" max="25"/>
    <col width="12" customWidth="1" style="15" min="26" max="26"/>
    <col width="8" customWidth="1" style="15" min="27" max="27"/>
    <col width="30" customWidth="1" style="15" min="28" max="28"/>
    <col width="12" customWidth="1" style="15" min="29" max="30"/>
    <col width="30" customWidth="1" style="15" min="31" max="31"/>
    <col width="12" customWidth="1" style="15" min="32" max="33"/>
    <col width="14" customWidth="1" style="15" min="34" max="34"/>
    <col width="30" customWidth="1" style="15" min="35" max="35"/>
    <col width="40" customWidth="1" style="15" min="36" max="36"/>
  </cols>
  <sheetData>
    <row r="1" ht="35.1" customHeight="1" s="15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15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5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15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15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15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15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15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15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15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15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15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15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15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15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15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15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15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15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15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15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15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15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15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15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15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15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15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15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Barbon-Buraschi (2021) single-paper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2"/>
    <col width="35" customWidth="1" style="15" min="3" max="3"/>
    <col width="25" customWidth="1" style="15" min="4" max="4"/>
    <col width="10" customWidth="1" style="15" min="5" max="5"/>
    <col width="25" customWidth="1" style="15" min="6" max="6"/>
    <col width="12" customWidth="1" style="15" min="7" max="8"/>
    <col width="30" customWidth="1" style="15" min="9" max="10"/>
    <col width="20" customWidth="1" style="15" min="11" max="11"/>
    <col width="30" customWidth="1" style="15" min="12" max="12"/>
  </cols>
  <sheetData>
    <row r="1" ht="23.85" customHeight="1" s="15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15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15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15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15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15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PENDING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15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15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PENDING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2"/>
    <col width="12" customWidth="1" style="15" min="3" max="4"/>
    <col width="40" customWidth="1" style="15" min="5" max="5"/>
    <col width="10" customWidth="1" style="15" min="6" max="6"/>
    <col width="30" customWidth="1" style="15" min="7" max="7"/>
    <col width="14" customWidth="1" style="15" min="8" max="10"/>
    <col width="12" customWidth="1" style="15" min="11" max="11"/>
    <col width="25" customWidth="1" style="15" min="12" max="12"/>
    <col width="30" customWidth="1" style="15" min="13" max="13"/>
  </cols>
  <sheetData>
    <row r="1" ht="35.1" customHeight="1" s="15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15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15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15" min="1" max="1"/>
    <col width="22" customWidth="1" style="15" min="2" max="2"/>
    <col width="8" customWidth="1" style="15" min="3" max="3"/>
    <col width="35" customWidth="1" style="15" min="4" max="4"/>
    <col width="12" customWidth="1" style="15" min="5" max="6"/>
    <col width="14" customWidth="1" style="15" min="7" max="7"/>
    <col width="12" customWidth="1" style="15" min="8" max="8"/>
    <col width="30" customWidth="1" style="15" min="9" max="9"/>
  </cols>
  <sheetData>
    <row r="1" ht="23.85" customHeight="1" s="15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15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15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15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15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15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15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15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15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15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15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15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15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20" customWidth="1" style="15" min="2" max="3"/>
    <col width="15" customWidth="1" style="15" min="4" max="5"/>
  </cols>
  <sheetData>
    <row r="1" ht="17.35" customHeight="1" s="15">
      <c r="A1" s="14" t="inlineStr">
        <is>
          <t>Performance Statistics</t>
        </is>
      </c>
    </row>
    <row r="3" ht="15" customHeight="1" s="15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15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15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15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15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15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15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15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15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15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15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15">
      <c r="A16" s="9" t="inlineStr">
        <is>
          <t>By Asset Class</t>
        </is>
      </c>
    </row>
    <row r="17" ht="15" customHeight="1" s="15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15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15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15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15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15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15">
      <c r="A25" s="9" t="inlineStr">
        <is>
          <t>By Score Component (when = +1)</t>
        </is>
      </c>
    </row>
    <row r="26" ht="15" customHeight="1" s="15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15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15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15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15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15">
      <c r="A33" s="9" t="inlineStr">
        <is>
          <t>Variable Registry Summary</t>
        </is>
      </c>
    </row>
    <row r="34" ht="15" customHeight="1" s="15">
      <c r="A34" s="5" t="inlineStr">
        <is>
          <t>Status</t>
        </is>
      </c>
      <c r="B34" s="5" t="inlineStr">
        <is>
          <t>Count</t>
        </is>
      </c>
    </row>
    <row r="35" ht="15" customHeight="1" s="15">
      <c r="A35" s="6" t="inlineStr">
        <is>
          <t>Candidate</t>
        </is>
      </c>
      <c r="B35" s="7">
        <f>COUNTIF(VariableRegistry!J2:J10000,"Candidate")</f>
        <v/>
      </c>
    </row>
    <row r="36" ht="15" customHeight="1" s="15">
      <c r="A36" s="6" t="inlineStr">
        <is>
          <t>Watchlist</t>
        </is>
      </c>
      <c r="B36" s="7">
        <f>COUNTIF(VariableRegistry!J2:J10000,"Watchlist")</f>
        <v/>
      </c>
    </row>
    <row r="37" ht="15" customHeight="1" s="15">
      <c r="A37" s="6" t="inlineStr">
        <is>
          <t>Under Review</t>
        </is>
      </c>
      <c r="B37" s="7">
        <f>COUNTIF(VariableRegistry!J2:J10000,"Under Review")</f>
        <v/>
      </c>
    </row>
    <row r="38" ht="15" customHeight="1" s="15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15">
      <c r="A39" s="6" t="inlineStr">
        <is>
          <t>Approved</t>
        </is>
      </c>
      <c r="B39" s="7">
        <f>COUNTIF(VariableRegistry!J2:J10000,"Approved")</f>
        <v/>
      </c>
    </row>
    <row r="40" ht="15" customHeight="1" s="15">
      <c r="A40" s="6" t="inlineStr">
        <is>
          <t>Grade A</t>
        </is>
      </c>
      <c r="B40" s="7">
        <f>COUNTIF(VariableRegistry!J2:J10000,"Grade A")</f>
        <v/>
      </c>
    </row>
    <row r="41" ht="15" customHeight="1" s="15">
      <c r="A41" s="6" t="inlineStr">
        <is>
          <t>Rejected</t>
        </is>
      </c>
      <c r="B41" s="7">
        <f>COUNTIF(VariableRegistry!J2:J10000,"Rejected")</f>
        <v/>
      </c>
    </row>
    <row r="42" ht="15" customHeight="1" s="15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3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80" customWidth="1" style="15" min="2" max="2"/>
  </cols>
  <sheetData>
    <row r="1" ht="17.35" customHeight="1" s="15">
      <c r="A1" s="14" t="inlineStr">
        <is>
          <t>Master Data Log — Architecture Documentation</t>
        </is>
      </c>
    </row>
    <row r="2" ht="15" customHeight="1" s="15">
      <c r="A2" s="6" t="n"/>
    </row>
    <row r="3" ht="15" customHeight="1" s="15">
      <c r="A3" s="6" t="inlineStr">
        <is>
          <t>Created: 2026-04-15</t>
        </is>
      </c>
    </row>
    <row r="4" ht="15" customHeight="1" s="15">
      <c r="A4" s="6" t="inlineStr">
        <is>
          <t>Purpose: Structured analytical data store for Gerald's trading workspace</t>
        </is>
      </c>
    </row>
    <row r="5" ht="15" customHeight="1" s="15">
      <c r="A5" s="6" t="n"/>
    </row>
    <row r="6" ht="15" customHeight="1" s="15">
      <c r="A6" s="10" t="inlineStr">
        <is>
          <t>SHEET DESCRIPTIONS:</t>
        </is>
      </c>
    </row>
    <row r="7" ht="15" customHeight="1" s="15">
      <c r="A7" s="6" t="n"/>
    </row>
    <row r="8" ht="15" customHeight="1" s="15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15">
      <c r="A9" s="6" t="n"/>
      <c r="B9" s="6" t="inlineStr">
        <is>
          <t>Producer: market-brief skill (appends row daily at 20:00 UTC+8)</t>
        </is>
      </c>
    </row>
    <row r="10" ht="15" customHeight="1" s="15">
      <c r="A10" s="6" t="n"/>
      <c r="B10" s="6" t="inlineStr">
        <is>
          <t>Consumer: signal-review, quarterly-methodology-review</t>
        </is>
      </c>
    </row>
    <row r="11" ht="15" customHeight="1" s="15">
      <c r="A11" s="6" t="n"/>
    </row>
    <row r="12" ht="15" customHeight="1" s="15">
      <c r="A12" s="11" t="inlineStr">
        <is>
          <t>SignalLedger</t>
        </is>
      </c>
      <c r="B12" s="6" t="inlineStr">
        <is>
          <t>All promoted and near-miss signals. Mirrors hypo-ledger-2026.md in structured form.</t>
        </is>
      </c>
    </row>
    <row r="13" ht="15" customHeight="1" s="15">
      <c r="A13" s="6" t="n"/>
      <c r="B13" s="6" t="inlineStr">
        <is>
          <t>Producer: daily-trade-rec skill (appends rows at 20:25 UTC+8)</t>
        </is>
      </c>
    </row>
    <row r="14" ht="15" customHeight="1" s="15">
      <c r="A14" s="6" t="n"/>
      <c r="B14" s="6" t="inlineStr">
        <is>
          <t>Consumer: signal-review (marks-to-market weekly), quarterly-review</t>
        </is>
      </c>
    </row>
    <row r="15" ht="15" customHeight="1" s="15">
      <c r="A15" s="6" t="n"/>
    </row>
    <row r="16" ht="15" customHeight="1" s="15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15">
      <c r="A17" s="6" t="n"/>
      <c r="B17" s="6" t="inlineStr">
        <is>
          <t>Producer: market-brief skill</t>
        </is>
      </c>
    </row>
    <row r="18" ht="15" customHeight="1" s="15">
      <c r="A18" s="6" t="n"/>
      <c r="B18" s="6" t="inlineStr">
        <is>
          <t>Consumer: signal-review (regime-conditional analysis)</t>
        </is>
      </c>
    </row>
    <row r="19" ht="15" customHeight="1" s="15">
      <c r="A19" s="6" t="n"/>
    </row>
    <row r="20" ht="15" customHeight="1" s="15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15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15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15">
      <c r="A23" s="6" t="n"/>
      <c r="B23" s="6" t="inlineStr">
        <is>
          <t>Review cadence: Daily add, Weekly clean, Monthly watchlist review, Quarterly promote/demote</t>
        </is>
      </c>
    </row>
    <row r="24" ht="15" customHeight="1" s="15">
      <c r="A24" s="6" t="n"/>
    </row>
    <row r="25" ht="15" customHeight="1" s="15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15">
      <c r="A26" s="6" t="n"/>
      <c r="B26" s="6" t="inlineStr">
        <is>
          <t>Producer: daily-trade-rec skill (from §4 catalyst map)</t>
        </is>
      </c>
    </row>
    <row r="27" ht="15" customHeight="1" s="15">
      <c r="A27" s="6" t="n"/>
      <c r="B27" s="6" t="inlineStr">
        <is>
          <t>Consumer: signal-review (catalyst resolution tracking)</t>
        </is>
      </c>
    </row>
    <row r="28" ht="15" customHeight="1" s="15">
      <c r="A28" s="6" t="n"/>
    </row>
    <row r="29" ht="15" customHeight="1" s="15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15">
      <c r="A30" s="6" t="n"/>
      <c r="B30" s="6" t="inlineStr">
        <is>
          <t>Producer: market-brief and preflight-check skills</t>
        </is>
      </c>
    </row>
    <row r="31" ht="15" customHeight="1" s="15">
      <c r="A31" s="6" t="n"/>
      <c r="B31" s="6" t="inlineStr">
        <is>
          <t>Consumer: quarterly-review (data pipeline audit)</t>
        </is>
      </c>
    </row>
    <row r="32" ht="15" customHeight="1" s="15">
      <c r="A32" s="6" t="n"/>
    </row>
    <row r="33" ht="15" customHeight="1" s="15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15">
      <c r="A34" s="6" t="n"/>
      <c r="B34" s="6" t="inlineStr">
        <is>
          <t>Replaces Memory.md §10. Evidence base for the 2026-10-14 review.</t>
        </is>
      </c>
    </row>
    <row r="35" ht="15" customHeight="1" s="15">
      <c r="A35" s="6" t="n"/>
      <c r="B35" s="6" t="inlineStr">
        <is>
          <t>Producer: daily-trade-rec skill</t>
        </is>
      </c>
    </row>
    <row r="36" ht="15" customHeight="1" s="15">
      <c r="A36" s="6" t="n"/>
    </row>
    <row r="37" ht="15" customHeight="1" s="15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15">
      <c r="A38" s="6" t="n"/>
      <c r="B38" s="6" t="inlineStr">
        <is>
          <t>Includes win rates, asset class breakdowns, score component analysis, variable registry summary.</t>
        </is>
      </c>
    </row>
    <row r="39" ht="15" customHeight="1" s="15">
      <c r="A39" s="6" t="n"/>
    </row>
    <row r="40" ht="15" customHeight="1" s="15">
      <c r="A40" s="10" t="inlineStr">
        <is>
          <t>RULES:</t>
        </is>
      </c>
    </row>
    <row r="41" ht="15" customHeight="1" s="15">
      <c r="A41" s="11" t="inlineStr">
        <is>
          <t>1. SignalLedger is append-only. Never delete or retroactively edit rows.</t>
        </is>
      </c>
    </row>
    <row r="42" ht="15" customHeight="1" s="15">
      <c r="A42" s="11" t="inlineStr">
        <is>
          <t>2. DailyVariables: one row per trading day. Overwrite only if same-day correction (note in Source_Brief).</t>
        </is>
      </c>
    </row>
    <row r="43" ht="15" customHeight="1" s="15">
      <c r="A43" s="11" t="inlineStr">
        <is>
          <t>3. VariableRegistry: variables can change status but are never deleted. Rejected/Retired variables stay for audit trail.</t>
        </is>
      </c>
    </row>
    <row r="44" ht="15" customHeight="1" s="15">
      <c r="A44" s="11" t="inlineStr">
        <is>
          <t>4. Markdown files remain the human-readable presentation layer. This workbook is the analytical layer.</t>
        </is>
      </c>
    </row>
    <row r="45" ht="15" customHeight="1" s="15">
      <c r="A45" s="11" t="inlineStr">
        <is>
          <t>5. If markdown and Excel diverge, Excel is source of truth for quantitative data.</t>
        </is>
      </c>
    </row>
    <row r="46" ht="15" customHeight="1" s="15">
      <c r="A46" s="6" t="n"/>
    </row>
    <row r="47" ht="15" customHeight="1" s="15">
      <c r="A47" s="10" t="inlineStr">
        <is>
          <t>VARIABLE DISCOVERY SYSTEM:</t>
        </is>
      </c>
    </row>
    <row r="48" ht="15" customHeight="1" s="15">
      <c r="A48" s="11" t="inlineStr">
        <is>
          <t>Status Ladder:</t>
        </is>
      </c>
    </row>
    <row r="49" ht="15" customHeight="1" s="15">
      <c r="A49" s="6" t="inlineStr">
        <is>
          <t xml:space="preserve">  Candidate — plausible idea, not yet assessed</t>
        </is>
      </c>
    </row>
    <row r="50" ht="15" customHeight="1" s="15">
      <c r="A50" s="6" t="inlineStr">
        <is>
          <t xml:space="preserve">  Watchlist — weak or mixed evidence, worth tracking over time</t>
        </is>
      </c>
    </row>
    <row r="51" ht="15" customHeight="1" s="15">
      <c r="A51" s="6" t="inlineStr">
        <is>
          <t xml:space="preserve">  Under Review — being actively assessed with data</t>
        </is>
      </c>
    </row>
    <row r="52" ht="15" customHeight="1" s="15">
      <c r="A52" s="6" t="inlineStr">
        <is>
          <t xml:space="preserve">  Provisionally Useful — seems helpful but not fully trusted (pilot phase)</t>
        </is>
      </c>
    </row>
    <row r="53" ht="15" customHeight="1" s="15">
      <c r="A53" s="6" t="inlineStr">
        <is>
          <t xml:space="preserve">  Approved — good enough for regular use, pending Grade A evidence</t>
        </is>
      </c>
    </row>
    <row r="54" ht="15" customHeight="1" s="15">
      <c r="A54" s="6" t="inlineStr">
        <is>
          <t xml:space="preserve">  Grade A — strong evidence, repeated usefulness, in core methodology</t>
        </is>
      </c>
    </row>
    <row r="55" ht="15" customHeight="1" s="15">
      <c r="A55" s="6" t="inlineStr">
        <is>
          <t xml:space="preserve">  Rejected — failed screening or proved unhelpful; kept for audit trail</t>
        </is>
      </c>
    </row>
    <row r="56" ht="15" customHeight="1" s="15">
      <c r="A56" s="6" t="inlineStr">
        <is>
          <t xml:space="preserve">  Retired — was useful but no longer (regime change, decay, etc.)</t>
        </is>
      </c>
    </row>
    <row r="57" ht="15" customHeight="1" s="15">
      <c r="A57" s="6" t="n"/>
    </row>
    <row r="58" ht="15" customHeight="1" s="15">
      <c r="A58" s="11" t="inlineStr">
        <is>
          <t>Review Cadence:</t>
        </is>
      </c>
    </row>
    <row r="59" ht="15" customHeight="1" s="15">
      <c r="A59" s="6" t="inlineStr">
        <is>
          <t xml:space="preserve">  Daily: literature-review and market-brief can add Candidate entries</t>
        </is>
      </c>
    </row>
    <row r="60" ht="15" customHeight="1" s="15">
      <c r="A60" s="6" t="inlineStr">
        <is>
          <t xml:space="preserve">  Weekly: signal-review flags blocking patterns that suggest variable gaps</t>
        </is>
      </c>
    </row>
    <row r="61" ht="15" customHeight="1" s="15">
      <c r="A61" s="6" t="inlineStr">
        <is>
          <t xml:space="preserve">  Monthly: bootstrap-review and quarterly-review assess Watchlist promotions</t>
        </is>
      </c>
    </row>
    <row r="62" ht="15" customHeight="1" s="15">
      <c r="A62" s="6" t="inlineStr">
        <is>
          <t xml:space="preserve">  Quarterly: formal promote/demote/reject decisions with Gerald sign-off</t>
        </is>
      </c>
    </row>
    <row r="63" ht="15" customHeight="1" s="15">
      <c r="A63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4.25"/>
  <cols>
    <col width="12" customWidth="1" style="15" min="1" max="1"/>
    <col width="18" customWidth="1" style="15" min="2" max="2"/>
    <col width="60" customWidth="1" style="15" min="3" max="3"/>
    <col width="45" customWidth="1" style="15" min="4" max="4"/>
    <col width="60" customWidth="1" style="15" min="5" max="6"/>
    <col width="12" customWidth="1" style="15" min="7" max="7"/>
    <col width="40" customWidth="1" style="15" min="8" max="9"/>
    <col width="60" customWidth="1" style="15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2026-04-21T08:40:21Z</dcterms:modified>
  <cp:lastModifiedBy>Gerald Yiu</cp:lastModifiedBy>
  <cp:revision>0</cp:revision>
</cp:coreProperties>
</file>