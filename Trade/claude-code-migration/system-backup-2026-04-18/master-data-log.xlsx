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ilyVariables" sheetId="1" state="visible" r:id="rId1"/>
    <sheet xmlns:r="http://schemas.openxmlformats.org/officeDocument/2006/relationships" name="SignalLedger" sheetId="2" state="visible" r:id="rId2"/>
    <sheet xmlns:r="http://schemas.openxmlformats.org/officeDocument/2006/relationships" name="RegimeHistory" sheetId="3" state="visible" r:id="rId3"/>
    <sheet xmlns:r="http://schemas.openxmlformats.org/officeDocument/2006/relationships" name="VariableRegistry" sheetId="4" state="visible" r:id="rId4"/>
    <sheet xmlns:r="http://schemas.openxmlformats.org/officeDocument/2006/relationships" name="CatalystLog" sheetId="5" state="visible" r:id="rId5"/>
    <sheet xmlns:r="http://schemas.openxmlformats.org/officeDocument/2006/relationships" name="DataQuality" sheetId="6" state="visible" r:id="rId6"/>
    <sheet xmlns:r="http://schemas.openxmlformats.org/officeDocument/2006/relationships" name="AuditAdditionLog" sheetId="7" state="visible" r:id="rId7"/>
    <sheet xmlns:r="http://schemas.openxmlformats.org/officeDocument/2006/relationships" name="PerformanceStats" sheetId="8" state="visible" r:id="rId8"/>
    <sheet xmlns:r="http://schemas.openxmlformats.org/officeDocument/2006/relationships" name="README" sheetId="9" state="visible" r:id="rId9"/>
  </sheets>
  <definedNames>
    <definedName name="_xlnm._FilterDatabase" localSheetId="0" hidden="1">'DailyVariables'!$A$1:$BY$1</definedName>
    <definedName name="_xlnm._FilterDatabase" localSheetId="1" hidden="1">'SignalLedger'!$A$1:$AF$1</definedName>
    <definedName name="_xlnm._FilterDatabase" localSheetId="2" hidden="1">'RegimeHistory'!$A$1:$P$1</definedName>
    <definedName name="_xlnm._FilterDatabase" localSheetId="3" hidden="1">'VariableRegistry'!$A$1:$AJ$1</definedName>
    <definedName name="_xlnm._FilterDatabase" localSheetId="4" hidden="1">'CatalystLog'!$A$1:$L$1</definedName>
    <definedName name="_xlnm._FilterDatabase" localSheetId="5" hidden="1">'DataQuality'!$A$1:$M$1</definedName>
    <definedName name="_xlnm._FilterDatabase" localSheetId="6" hidden="1">'AuditAdditionLog'!$A$1:$I$1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808080"/>
      <sz val="9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375623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0" fillId="0" borderId="0" pivotButton="0" quotePrefix="0" xfId="0"/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Y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14" customWidth="1" style="13" min="2" max="77"/>
  </cols>
  <sheetData>
    <row r="1" ht="35.05" customHeight="1" s="14">
      <c r="A1" s="15" t="inlineStr">
        <is>
          <t>Date</t>
        </is>
      </c>
      <c r="B1" s="15" t="inlineStr">
        <is>
          <t>VIX</t>
        </is>
      </c>
      <c r="C1" s="15" t="inlineStr">
        <is>
          <t>VIX3M</t>
        </is>
      </c>
      <c r="D1" s="15" t="inlineStr">
        <is>
          <t>VIX/VIX3M</t>
        </is>
      </c>
      <c r="E1" s="15" t="inlineStr">
        <is>
          <t>MOVE</t>
        </is>
      </c>
      <c r="F1" s="15" t="inlineStr">
        <is>
          <t>DXY</t>
        </is>
      </c>
      <c r="G1" s="15" t="inlineStr">
        <is>
          <t>HY_OAS</t>
        </is>
      </c>
      <c r="H1" s="15" t="inlineStr">
        <is>
          <t>NFCI</t>
        </is>
      </c>
      <c r="I1" s="15" t="inlineStr">
        <is>
          <t>Intermediary_Cap_Ratio</t>
        </is>
      </c>
      <c r="J1" s="15" t="inlineStr">
        <is>
          <t>Intermediary_Cap_Z</t>
        </is>
      </c>
      <c r="K1" s="15" t="inlineStr">
        <is>
          <t>DGS2</t>
        </is>
      </c>
      <c r="L1" s="15" t="inlineStr">
        <is>
          <t>DGS10</t>
        </is>
      </c>
      <c r="M1" s="15" t="inlineStr">
        <is>
          <t>2s10s</t>
        </is>
      </c>
      <c r="N1" s="15" t="inlineStr">
        <is>
          <t>DFII10</t>
        </is>
      </c>
      <c r="O1" s="15" t="inlineStr">
        <is>
          <t>T10YIE</t>
        </is>
      </c>
      <c r="P1" s="15" t="inlineStr">
        <is>
          <t>ACM_TP_10Y</t>
        </is>
      </c>
      <c r="Q1" s="15" t="inlineStr">
        <is>
          <t>SPX</t>
        </is>
      </c>
      <c r="R1" s="15" t="inlineStr">
        <is>
          <t>NDX</t>
        </is>
      </c>
      <c r="S1" s="15" t="inlineStr">
        <is>
          <t>SPY</t>
        </is>
      </c>
      <c r="T1" s="15" t="inlineStr">
        <is>
          <t>QQQ</t>
        </is>
      </c>
      <c r="U1" s="15" t="inlineStr">
        <is>
          <t>EWJ</t>
        </is>
      </c>
      <c r="V1" s="15" t="inlineStr">
        <is>
          <t>EWY</t>
        </is>
      </c>
      <c r="W1" s="15" t="inlineStr">
        <is>
          <t>NVDA</t>
        </is>
      </c>
      <c r="X1" s="15" t="inlineStr">
        <is>
          <t>TSLA</t>
        </is>
      </c>
      <c r="Y1" s="15" t="inlineStr">
        <is>
          <t>TSM</t>
        </is>
      </c>
      <c r="Z1" s="15" t="inlineStr">
        <is>
          <t>AAPL</t>
        </is>
      </c>
      <c r="AA1" s="15" t="inlineStr">
        <is>
          <t>GOOGL</t>
        </is>
      </c>
      <c r="AB1" s="15" t="inlineStr">
        <is>
          <t>AMZN</t>
        </is>
      </c>
      <c r="AC1" s="15" t="inlineStr">
        <is>
          <t>META</t>
        </is>
      </c>
      <c r="AD1" s="15" t="inlineStr">
        <is>
          <t>INTC</t>
        </is>
      </c>
      <c r="AE1" s="15" t="inlineStr">
        <is>
          <t>MU</t>
        </is>
      </c>
      <c r="AF1" s="15" t="inlineStr">
        <is>
          <t>PYPL</t>
        </is>
      </c>
      <c r="AG1" s="15" t="inlineStr">
        <is>
          <t>PLTR</t>
        </is>
      </c>
      <c r="AH1" s="15" t="inlineStr">
        <is>
          <t>WDC</t>
        </is>
      </c>
      <c r="AI1" s="15" t="inlineStr">
        <is>
          <t>ResidMom_NVDA</t>
        </is>
      </c>
      <c r="AJ1" s="15" t="inlineStr">
        <is>
          <t>ResidMom_TSLA</t>
        </is>
      </c>
      <c r="AK1" s="15" t="inlineStr">
        <is>
          <t>ResidMom_TSM</t>
        </is>
      </c>
      <c r="AL1" s="15" t="inlineStr">
        <is>
          <t>ResidMom_AAPL</t>
        </is>
      </c>
      <c r="AM1" s="15" t="inlineStr">
        <is>
          <t>ResidMom_GOOGL</t>
        </is>
      </c>
      <c r="AN1" s="15" t="inlineStr">
        <is>
          <t>ResidMom_AMZN</t>
        </is>
      </c>
      <c r="AO1" s="15" t="inlineStr">
        <is>
          <t>ResidMom_META</t>
        </is>
      </c>
      <c r="AP1" s="15" t="inlineStr">
        <is>
          <t>ResidMom_INTC</t>
        </is>
      </c>
      <c r="AQ1" s="15" t="inlineStr">
        <is>
          <t>ResidMom_MU</t>
        </is>
      </c>
      <c r="AR1" s="15" t="inlineStr">
        <is>
          <t>ResidMom_PYPL</t>
        </is>
      </c>
      <c r="AS1" s="15" t="inlineStr">
        <is>
          <t>ResidMom_PLTR</t>
        </is>
      </c>
      <c r="AT1" s="15" t="inlineStr">
        <is>
          <t>ResidMom_WDC</t>
        </is>
      </c>
      <c r="AU1" s="15" t="inlineStr">
        <is>
          <t>Brent</t>
        </is>
      </c>
      <c r="AV1" s="15" t="inlineStr">
        <is>
          <t>WTI</t>
        </is>
      </c>
      <c r="AW1" s="15" t="inlineStr">
        <is>
          <t>Gold</t>
        </is>
      </c>
      <c r="AX1" s="15" t="inlineStr">
        <is>
          <t>Silver</t>
        </is>
      </c>
      <c r="AY1" s="15" t="inlineStr">
        <is>
          <t>Copper</t>
        </is>
      </c>
      <c r="AZ1" s="15" t="inlineStr">
        <is>
          <t>Platinum</t>
        </is>
      </c>
      <c r="BA1" s="15" t="inlineStr">
        <is>
          <t>Palladium</t>
        </is>
      </c>
      <c r="BB1" s="15" t="inlineStr">
        <is>
          <t>BasisMom_Brent_4w</t>
        </is>
      </c>
      <c r="BC1" s="15" t="inlineStr">
        <is>
          <t>BasisMom_Brent_12w</t>
        </is>
      </c>
      <c r="BD1" s="15" t="inlineStr">
        <is>
          <t>BasisMom_WTI_4w</t>
        </is>
      </c>
      <c r="BE1" s="15" t="inlineStr">
        <is>
          <t>BasisMom_WTI_12w</t>
        </is>
      </c>
      <c r="BF1" s="15" t="inlineStr">
        <is>
          <t>BasisMom_Gold_4w</t>
        </is>
      </c>
      <c r="BG1" s="15" t="inlineStr">
        <is>
          <t>BasisMom_Gold_12w</t>
        </is>
      </c>
      <c r="BH1" s="15" t="inlineStr">
        <is>
          <t>BasisMom_Silver_4w</t>
        </is>
      </c>
      <c r="BI1" s="15" t="inlineStr">
        <is>
          <t>BasisMom_Silver_12w</t>
        </is>
      </c>
      <c r="BJ1" s="15" t="inlineStr">
        <is>
          <t>BasisMom_Copper_4w</t>
        </is>
      </c>
      <c r="BK1" s="15" t="inlineStr">
        <is>
          <t>BasisMom_Copper_12w</t>
        </is>
      </c>
      <c r="BL1" s="15" t="inlineStr">
        <is>
          <t>EURUSD</t>
        </is>
      </c>
      <c r="BM1" s="15" t="inlineStr">
        <is>
          <t>USDJPY</t>
        </is>
      </c>
      <c r="BN1" s="15" t="inlineStr">
        <is>
          <t>BTC</t>
        </is>
      </c>
      <c r="BO1" s="15" t="inlineStr">
        <is>
          <t>ETH</t>
        </is>
      </c>
      <c r="BP1" s="15" t="inlineStr">
        <is>
          <t>BTC_HashRate</t>
        </is>
      </c>
      <c r="BQ1" s="15" t="inlineStr">
        <is>
          <t>BTC_ActiveAddr</t>
        </is>
      </c>
      <c r="BR1" s="15" t="inlineStr">
        <is>
          <t>BTC_ExchNetflow</t>
        </is>
      </c>
      <c r="BS1" s="15" t="inlineStr">
        <is>
          <t>BTC_ETF_Flow</t>
        </is>
      </c>
      <c r="BT1" s="15" t="inlineStr">
        <is>
          <t>BTC_PerpFunding</t>
        </is>
      </c>
      <c r="BU1" s="15" t="inlineStr">
        <is>
          <t>BTC_3mBasis</t>
        </is>
      </c>
      <c r="BV1" s="15" t="inlineStr">
        <is>
          <t>ETH_ETF_Flow</t>
        </is>
      </c>
      <c r="BW1" s="15" t="inlineStr">
        <is>
          <t>ETH_DailyTxns</t>
        </is>
      </c>
      <c r="BX1" s="15" t="inlineStr">
        <is>
          <t>GradeA_Missing_Count</t>
        </is>
      </c>
      <c r="BY1" s="15" t="inlineStr">
        <is>
          <t>Source_Brief</t>
        </is>
      </c>
    </row>
    <row r="2" ht="15" customHeight="1" s="14">
      <c r="A2" s="16" t="n">
        <v>46126</v>
      </c>
      <c r="B2" s="17" t="n">
        <v>29</v>
      </c>
      <c r="F2" s="17" t="n">
        <v>98.13</v>
      </c>
      <c r="K2" s="17" t="n">
        <v>3.77</v>
      </c>
      <c r="L2" s="17" t="n">
        <v>4.359</v>
      </c>
      <c r="N2" s="17" t="n">
        <v>1.9</v>
      </c>
      <c r="O2" s="17" t="n">
        <v>2.36</v>
      </c>
      <c r="R2" s="17" t="n">
        <v>6886</v>
      </c>
      <c r="V2" s="17" t="n">
        <v>141.23</v>
      </c>
      <c r="Y2" s="17" t="n">
        <v>370.6</v>
      </c>
      <c r="AB2" s="17" t="n">
        <v>238.38</v>
      </c>
      <c r="AC2" s="17" t="n">
        <v>634.53</v>
      </c>
      <c r="AU2" s="17" t="n">
        <v>94.79000000000001</v>
      </c>
      <c r="AV2" s="17" t="n">
        <v>91.28</v>
      </c>
      <c r="AW2" s="17" t="n">
        <v>4761.42</v>
      </c>
      <c r="AX2" s="17" t="n">
        <v>75.59999999999999</v>
      </c>
      <c r="AY2" s="17" t="n">
        <v>6.01</v>
      </c>
      <c r="BD2" s="17" t="n">
        <v>1.1769</v>
      </c>
      <c r="BF2" s="17" t="n">
        <v>75900</v>
      </c>
      <c r="BG2" s="17" t="n">
        <v>2329</v>
      </c>
      <c r="BL2" s="17" t="n">
        <v>1.1769</v>
      </c>
      <c r="BM2" s="17" t="n">
        <v>159.28</v>
      </c>
      <c r="BN2" s="17" t="n">
        <v>75900</v>
      </c>
      <c r="BQ2" s="17" t="n">
        <v>364000</v>
      </c>
      <c r="BR2" s="17" t="n">
        <v>-7900</v>
      </c>
      <c r="BV2" s="17" t="n">
        <v>4</v>
      </c>
      <c r="BX2" s="17" t="n">
        <v>4</v>
      </c>
      <c r="BY2" s="17" t="inlineStr">
        <is>
          <t>market-brief-2026-04-14.md</t>
        </is>
      </c>
    </row>
    <row r="3" ht="15" customHeight="1" s="14">
      <c r="A3" s="16" t="n">
        <v>46127</v>
      </c>
      <c r="B3" s="17" t="n">
        <v>18.36</v>
      </c>
      <c r="C3" s="17" t="n">
        <v>21.86</v>
      </c>
      <c r="E3" s="17" t="n">
        <v>74.34999999999999</v>
      </c>
      <c r="F3" s="17" t="n">
        <v>98.09</v>
      </c>
      <c r="G3" s="17" t="n">
        <v>2.94</v>
      </c>
      <c r="H3" s="17" t="n">
        <v>-0.43</v>
      </c>
      <c r="I3" s="17" t="n">
        <v>0.14</v>
      </c>
      <c r="J3" s="17" t="n">
        <v>1.86</v>
      </c>
      <c r="K3" s="17" t="n">
        <v>3.77</v>
      </c>
      <c r="L3" s="17" t="n">
        <v>4.29</v>
      </c>
      <c r="M3" s="17" t="n">
        <v>0.52</v>
      </c>
      <c r="N3" s="17" t="n">
        <v>1.9</v>
      </c>
      <c r="O3" s="17" t="n">
        <v>2.36</v>
      </c>
      <c r="Q3" s="17" t="n">
        <v>6967.38</v>
      </c>
      <c r="S3" s="17" t="n">
        <v>694.46</v>
      </c>
      <c r="T3" s="17" t="n">
        <v>628.6</v>
      </c>
      <c r="V3" s="17" t="n">
        <v>146.68</v>
      </c>
      <c r="W3" s="17" t="n">
        <v>195.88</v>
      </c>
      <c r="X3" s="17" t="n">
        <v>364</v>
      </c>
      <c r="Y3" s="17" t="n">
        <v>379.89</v>
      </c>
      <c r="Z3" s="17" t="n">
        <v>259</v>
      </c>
      <c r="AA3" s="17" t="n">
        <v>318</v>
      </c>
      <c r="AB3" s="17" t="n">
        <v>248</v>
      </c>
      <c r="AC3" s="17" t="n">
        <v>662</v>
      </c>
      <c r="AD3" s="17" t="n">
        <v>63</v>
      </c>
      <c r="AE3" s="17" t="n">
        <v>465.66</v>
      </c>
      <c r="AF3" s="17" t="n">
        <v>48</v>
      </c>
      <c r="AG3" s="17" t="n">
        <v>136</v>
      </c>
      <c r="AH3" s="17" t="n">
        <v>366</v>
      </c>
      <c r="AI3" s="17" t="n">
        <v>-30.67</v>
      </c>
      <c r="AJ3" s="17" t="n">
        <v>-44.21</v>
      </c>
      <c r="AK3" s="17" t="n">
        <v>-19.78</v>
      </c>
      <c r="AL3" s="17" t="n">
        <v>-3.89</v>
      </c>
      <c r="AM3" s="17" t="n">
        <v>-0.2</v>
      </c>
      <c r="AN3" s="17" t="n">
        <v>-7.2</v>
      </c>
      <c r="AO3" s="17" t="n">
        <v>-25.25</v>
      </c>
      <c r="AP3" s="17" t="n">
        <v>42.33</v>
      </c>
      <c r="AQ3" s="17" t="n">
        <v>1.44</v>
      </c>
      <c r="AR3" s="17" t="n">
        <v>-47.46</v>
      </c>
      <c r="AS3" s="17" t="n">
        <v>-100.26</v>
      </c>
      <c r="AT3" s="17" t="n">
        <v>20.62</v>
      </c>
      <c r="AU3" s="17" t="n">
        <v>95.72</v>
      </c>
      <c r="AV3" s="17" t="n">
        <v>91.5</v>
      </c>
      <c r="AW3" s="17" t="n">
        <v>4830</v>
      </c>
      <c r="AX3" s="17" t="n">
        <v>79.67</v>
      </c>
      <c r="AY3" s="17" t="n">
        <v>6.01</v>
      </c>
      <c r="AZ3" s="17" t="n">
        <v>2108</v>
      </c>
      <c r="BB3" s="17" t="n">
        <v>3.95</v>
      </c>
      <c r="BC3" s="17" t="n">
        <v>4.05</v>
      </c>
      <c r="BD3" s="17" t="n">
        <v>6.6</v>
      </c>
      <c r="BE3" s="17" t="n">
        <v>6.7</v>
      </c>
      <c r="BF3" s="17" t="n">
        <v>-19</v>
      </c>
      <c r="BG3" s="17" t="n">
        <v>-20</v>
      </c>
      <c r="BH3" s="17" t="n">
        <v>-0.28</v>
      </c>
      <c r="BI3" s="17" t="n">
        <v>-0.3</v>
      </c>
      <c r="BJ3" s="17" t="n">
        <v>0.08</v>
      </c>
      <c r="BK3" s="17" t="n">
        <v>0.09</v>
      </c>
      <c r="BL3" s="17" t="n">
        <v>1.1769</v>
      </c>
      <c r="BM3" s="17" t="n">
        <v>159.28</v>
      </c>
      <c r="BN3" s="17" t="n">
        <v>74294</v>
      </c>
      <c r="BO3" s="17" t="n">
        <v>2329</v>
      </c>
      <c r="BP3" s="17" t="n">
        <v>1033</v>
      </c>
      <c r="BQ3" s="17" t="n">
        <v>364000</v>
      </c>
      <c r="BR3" s="17" t="n">
        <v>-7900</v>
      </c>
      <c r="BS3" s="17" t="n">
        <v>411.5</v>
      </c>
      <c r="BV3" s="17" t="n">
        <v>187</v>
      </c>
      <c r="BW3" s="17" t="n">
        <v>3600000</v>
      </c>
      <c r="BX3" s="17" t="n">
        <v>4</v>
      </c>
      <c r="BY3" s="17" t="inlineStr">
        <is>
          <t>market-brief-2026-04-15.md v1 + trade-rec v3</t>
        </is>
      </c>
    </row>
    <row r="4">
      <c r="A4" s="26" t="n">
        <v>46128</v>
      </c>
      <c r="B4" s="13" t="n">
        <v>18.19</v>
      </c>
      <c r="C4" s="13" t="n">
        <v>20.78</v>
      </c>
      <c r="E4" s="13" t="n">
        <v>67.94</v>
      </c>
      <c r="F4" s="13" t="n">
        <v>98.17</v>
      </c>
      <c r="G4" s="13" t="n">
        <v>2.95</v>
      </c>
      <c r="H4" s="13" t="n">
        <v>-0.47</v>
      </c>
      <c r="K4" s="13" t="n">
        <v>3.77</v>
      </c>
      <c r="L4" s="13" t="n">
        <v>4.276</v>
      </c>
      <c r="M4" s="13" t="n">
        <v>0.506</v>
      </c>
      <c r="N4" s="13" t="n">
        <v>1.89</v>
      </c>
      <c r="O4" s="13" t="n">
        <v>2.36</v>
      </c>
      <c r="Q4" s="13" t="n">
        <v>7000</v>
      </c>
      <c r="S4" s="13" t="n">
        <v>699.9400000000001</v>
      </c>
      <c r="T4" s="13" t="n">
        <v>637.4</v>
      </c>
      <c r="U4" s="13" t="n">
        <v>89.06999999999999</v>
      </c>
      <c r="V4" s="13" t="n">
        <v>144.92</v>
      </c>
      <c r="W4" s="13" t="n">
        <v>198.87</v>
      </c>
      <c r="X4" s="13" t="n">
        <v>391.95</v>
      </c>
      <c r="Y4" s="13" t="n">
        <v>375.1</v>
      </c>
      <c r="Z4" s="13" t="n">
        <v>266.43</v>
      </c>
      <c r="AA4" s="13" t="n">
        <v>337.12</v>
      </c>
      <c r="AB4" s="13" t="n">
        <v>248.5</v>
      </c>
      <c r="AC4" s="13" t="n">
        <v>671.58</v>
      </c>
      <c r="AD4" s="13" t="n">
        <v>64.94</v>
      </c>
      <c r="AE4" s="13" t="n">
        <v>456.23</v>
      </c>
      <c r="AF4" s="13" t="n">
        <v>49.57</v>
      </c>
      <c r="AG4" s="13" t="n">
        <v>142.15</v>
      </c>
      <c r="AH4" s="13" t="n">
        <v>365</v>
      </c>
      <c r="AU4" s="13" t="n">
        <v>96.51000000000001</v>
      </c>
      <c r="AV4" s="13" t="n">
        <v>89.20999999999999</v>
      </c>
      <c r="AW4" s="13" t="n">
        <v>4840.2</v>
      </c>
      <c r="AX4" s="13" t="n">
        <v>79.59</v>
      </c>
      <c r="AY4" s="13" t="n">
        <v>6.096</v>
      </c>
      <c r="AZ4" s="13" t="n">
        <v>2144.6</v>
      </c>
      <c r="BA4" s="13" t="n">
        <v>1587.5</v>
      </c>
      <c r="BL4" s="13" t="n">
        <v>1.1786</v>
      </c>
      <c r="BM4" s="13" t="n">
        <v>159.02</v>
      </c>
      <c r="BN4" s="13" t="n">
        <v>74914</v>
      </c>
      <c r="BO4" s="13" t="n">
        <v>2347</v>
      </c>
      <c r="BP4" s="13" t="n">
        <v>863.5</v>
      </c>
      <c r="BQ4" s="13" t="n">
        <v>470280</v>
      </c>
      <c r="BS4" s="13" t="n">
        <v>411.5</v>
      </c>
      <c r="BV4" s="13" t="n">
        <v>9.44</v>
      </c>
      <c r="BX4" s="13" t="n">
        <v>4</v>
      </c>
      <c r="BY4" s="13" t="inlineStr">
        <is>
          <t>market-brief-2026-04-16.md v1</t>
        </is>
      </c>
    </row>
    <row r="5">
      <c r="A5" s="26" t="n">
        <v>46129</v>
      </c>
      <c r="B5" s="13" t="n">
        <v>17.92</v>
      </c>
      <c r="C5" s="13" t="n">
        <v>20.59</v>
      </c>
      <c r="D5" s="13" t="n">
        <v>0.87</v>
      </c>
      <c r="E5" s="13" t="n">
        <v>65.89</v>
      </c>
      <c r="F5" s="13" t="n">
        <v>97.8</v>
      </c>
      <c r="G5" s="13" t="n">
        <v>295</v>
      </c>
      <c r="H5" s="13" t="n">
        <v>-0.47</v>
      </c>
      <c r="I5" s="13" t="n">
        <v>0.1261</v>
      </c>
      <c r="J5" s="13" t="n">
        <v>0.18</v>
      </c>
      <c r="K5" s="13" t="n">
        <v>3.78</v>
      </c>
      <c r="L5" s="13" t="n">
        <v>4.228</v>
      </c>
      <c r="M5" s="13" t="n">
        <v>0.448</v>
      </c>
      <c r="N5" s="13" t="n">
        <v>1.89</v>
      </c>
      <c r="O5" s="13" t="n">
        <v>2.34</v>
      </c>
      <c r="P5" s="13" t="n">
        <v>0.59</v>
      </c>
      <c r="S5" s="13" t="n">
        <v>710.8200000000001</v>
      </c>
      <c r="T5" s="13" t="n">
        <v>649.13</v>
      </c>
      <c r="U5" s="13" t="n">
        <v>90.63</v>
      </c>
      <c r="V5" s="13" t="n">
        <v>153.72</v>
      </c>
      <c r="W5" s="13" t="n">
        <v>200.83</v>
      </c>
      <c r="X5" s="13" t="n">
        <v>404.37</v>
      </c>
      <c r="Y5" s="13" t="n">
        <v>368.92</v>
      </c>
      <c r="Z5" s="13" t="n">
        <v>271.52</v>
      </c>
      <c r="AA5" s="13" t="n">
        <v>336.9</v>
      </c>
      <c r="AB5" s="13" t="n">
        <v>254.41</v>
      </c>
      <c r="AC5" s="13" t="n">
        <v>685.17</v>
      </c>
      <c r="AD5" s="13" t="n">
        <v>69.92</v>
      </c>
      <c r="AE5" s="13" t="n">
        <v>460</v>
      </c>
      <c r="AF5" s="13" t="n">
        <v>50.96</v>
      </c>
      <c r="AG5" s="13" t="n">
        <v>148.13</v>
      </c>
      <c r="AH5" s="13" t="n">
        <v>371</v>
      </c>
      <c r="AI5" s="13" t="n">
        <v>-1</v>
      </c>
      <c r="AJ5" s="13" t="n">
        <v>-9.119999999999999</v>
      </c>
      <c r="AK5" s="13" t="n">
        <v>1</v>
      </c>
      <c r="AL5" s="13" t="n">
        <v>4.68</v>
      </c>
      <c r="AM5" s="13" t="n">
        <v>-0.8</v>
      </c>
      <c r="AN5" s="13" t="n">
        <v>1.39</v>
      </c>
      <c r="AO5" s="13" t="n">
        <v>0.75</v>
      </c>
      <c r="AP5" s="13" t="n">
        <v>13.89</v>
      </c>
      <c r="AQ5" s="13" t="n">
        <v>15.63</v>
      </c>
      <c r="AR5" s="13" t="n">
        <v>-5.25</v>
      </c>
      <c r="AS5" s="13" t="n">
        <v>-35.62</v>
      </c>
      <c r="AT5" s="13" t="n">
        <v>2.38</v>
      </c>
      <c r="AU5" s="13" t="n">
        <v>86.65000000000001</v>
      </c>
      <c r="AV5" s="13" t="n">
        <v>79.45999999999999</v>
      </c>
      <c r="AW5" s="13" t="n">
        <v>4897.9</v>
      </c>
      <c r="AX5" s="13" t="n">
        <v>82.995</v>
      </c>
      <c r="AY5" s="13" t="n">
        <v>6.1135</v>
      </c>
      <c r="AZ5" s="13" t="n">
        <v>2145.2</v>
      </c>
      <c r="BA5" s="13" t="n">
        <v>1606.5</v>
      </c>
      <c r="BB5" s="13" t="n">
        <v>3.5</v>
      </c>
      <c r="BC5" s="13" t="n">
        <v>3.5</v>
      </c>
      <c r="BD5" s="13" t="n">
        <v>6.98</v>
      </c>
      <c r="BE5" s="13" t="n">
        <v>6.98</v>
      </c>
      <c r="BF5" s="13" t="n">
        <v>-20</v>
      </c>
      <c r="BG5" s="13" t="n">
        <v>-20</v>
      </c>
      <c r="BH5" s="13" t="n">
        <v>-0.29</v>
      </c>
      <c r="BI5" s="13" t="n">
        <v>-0.29</v>
      </c>
      <c r="BJ5" s="13" t="n">
        <v>0.09</v>
      </c>
      <c r="BK5" s="13" t="n">
        <v>0.09</v>
      </c>
      <c r="BL5" s="13" t="n">
        <v>1.1818</v>
      </c>
      <c r="BM5" s="13" t="n">
        <v>157.92</v>
      </c>
      <c r="BN5" s="13" t="n">
        <v>77775</v>
      </c>
      <c r="BO5" s="13" t="n">
        <v>2443</v>
      </c>
      <c r="BP5" s="13" t="n">
        <v>1050</v>
      </c>
      <c r="BQ5" s="13" t="n">
        <v>470280</v>
      </c>
      <c r="BS5" s="13" t="n">
        <v>186</v>
      </c>
      <c r="BT5" s="13" t="inlineStr">
        <is>
          <t>negative 46+ days</t>
        </is>
      </c>
      <c r="BX5" s="13" t="n">
        <v>0</v>
      </c>
      <c r="BY5" s="13" t="inlineStr">
        <is>
          <t>market-brief-2026-04-17 v3</t>
        </is>
      </c>
    </row>
  </sheetData>
  <autoFilter ref="A1:BY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13" min="1" max="1"/>
    <col width="10" customWidth="1" style="13" min="2" max="2"/>
    <col width="12" customWidth="1" style="13" min="3" max="3"/>
    <col width="8" customWidth="1" style="13" min="4" max="4"/>
    <col width="12" customWidth="1" style="13" min="5" max="5"/>
    <col width="8" customWidth="1" style="13" min="6" max="6"/>
    <col width="4" customWidth="1" style="13" min="7" max="10"/>
    <col width="5" customWidth="1" style="13" min="11" max="11"/>
    <col width="12" customWidth="1" style="13" min="12" max="12"/>
    <col width="10" customWidth="1" style="13" min="13" max="13"/>
    <col width="12" customWidth="1" style="13" min="14" max="15"/>
    <col width="30" customWidth="1" style="13" min="16" max="16"/>
    <col width="12" customWidth="1" style="13" min="17" max="17"/>
    <col width="10" customWidth="1" style="13" min="18" max="18"/>
    <col width="35" customWidth="1" style="13" min="19" max="19"/>
    <col width="10" customWidth="1" style="13" min="20" max="20"/>
    <col width="30" customWidth="1" style="13" min="21" max="21"/>
    <col width="12" customWidth="1" style="13" min="22" max="25"/>
    <col width="10" customWidth="1" style="13" min="26" max="26"/>
    <col width="8" customWidth="1" style="13" min="27" max="28"/>
    <col width="14" customWidth="1" style="13" min="29" max="29"/>
    <col width="10" customWidth="1" style="13" min="30" max="30"/>
    <col width="30" customWidth="1" style="13" min="31" max="31"/>
    <col width="40" customWidth="1" style="13" min="32" max="32"/>
  </cols>
  <sheetData>
    <row r="1" ht="35.05" customHeight="1" s="14">
      <c r="A1" s="15" t="inlineStr">
        <is>
          <t>ID</t>
        </is>
      </c>
      <c r="B1" s="15" t="inlineStr">
        <is>
          <t>Type</t>
        </is>
      </c>
      <c r="C1" s="15" t="inlineStr">
        <is>
          <t>Date</t>
        </is>
      </c>
      <c r="D1" s="15" t="inlineStr">
        <is>
          <t>Asset</t>
        </is>
      </c>
      <c r="E1" s="15" t="inlineStr">
        <is>
          <t>AssetClass</t>
        </is>
      </c>
      <c r="F1" s="15" t="inlineStr">
        <is>
          <t>Direction</t>
        </is>
      </c>
      <c r="G1" s="15" t="inlineStr">
        <is>
          <t>S</t>
        </is>
      </c>
      <c r="H1" s="15" t="inlineStr">
        <is>
          <t>T</t>
        </is>
      </c>
      <c r="I1" s="15" t="inlineStr">
        <is>
          <t>C</t>
        </is>
      </c>
      <c r="J1" s="15" t="inlineStr">
        <is>
          <t>R</t>
        </is>
      </c>
      <c r="K1" s="15" t="inlineStr">
        <is>
          <t>Sum</t>
        </is>
      </c>
      <c r="L1" s="15" t="inlineStr">
        <is>
          <t>Entry_Price</t>
        </is>
      </c>
      <c r="M1" s="15" t="inlineStr">
        <is>
          <t>ATR_Stop</t>
        </is>
      </c>
      <c r="N1" s="15" t="inlineStr">
        <is>
          <t>Target_TP1</t>
        </is>
      </c>
      <c r="O1" s="15" t="inlineStr">
        <is>
          <t>Target_TP2</t>
        </is>
      </c>
      <c r="P1" s="15" t="inlineStr">
        <is>
          <t>Invalidation</t>
        </is>
      </c>
      <c r="Q1" s="15" t="inlineStr">
        <is>
          <t>Inv_Date</t>
        </is>
      </c>
      <c r="R1" s="15" t="inlineStr">
        <is>
          <t>VIX_at_Entry</t>
        </is>
      </c>
      <c r="S1" s="15" t="inlineStr">
        <is>
          <t>Regime_Label</t>
        </is>
      </c>
      <c r="T1" s="15" t="inlineStr">
        <is>
          <t>Blocking_Leg</t>
        </is>
      </c>
      <c r="U1" s="15" t="inlineStr">
        <is>
          <t>Block_Reason</t>
        </is>
      </c>
      <c r="V1" s="15" t="inlineStr">
        <is>
          <t>Taken</t>
        </is>
      </c>
      <c r="W1" s="15" t="inlineStr">
        <is>
          <t>Status</t>
        </is>
      </c>
      <c r="X1" s="15" t="inlineStr">
        <is>
          <t>Exit_Price</t>
        </is>
      </c>
      <c r="Y1" s="15" t="inlineStr">
        <is>
          <t>Exit_Date</t>
        </is>
      </c>
      <c r="Z1" s="15" t="inlineStr">
        <is>
          <t>Days_to_Exit</t>
        </is>
      </c>
      <c r="AA1" s="15" t="inlineStr">
        <is>
          <t>MAE_Pct</t>
        </is>
      </c>
      <c r="AB1" s="15" t="inlineStr">
        <is>
          <t>MFE_Pct</t>
        </is>
      </c>
      <c r="AC1" s="15" t="inlineStr">
        <is>
          <t>Catalyst_Outcome</t>
        </is>
      </c>
      <c r="AD1" s="15" t="inlineStr">
        <is>
          <t>Hypo_PnL_Pct</t>
        </is>
      </c>
      <c r="AE1" s="15" t="inlineStr">
        <is>
          <t>Source_File</t>
        </is>
      </c>
      <c r="AF1" s="15" t="inlineStr">
        <is>
          <t>Notes</t>
        </is>
      </c>
    </row>
    <row r="2" ht="15" customHeight="1" s="14">
      <c r="A2" s="17" t="inlineStr">
        <is>
          <t>P001</t>
        </is>
      </c>
      <c r="B2" s="17" t="inlineStr">
        <is>
          <t>Promoted</t>
        </is>
      </c>
      <c r="C2" s="16" t="n">
        <v>46127</v>
      </c>
      <c r="D2" s="17" t="inlineStr">
        <is>
          <t>EWY</t>
        </is>
      </c>
      <c r="E2" s="17" t="inlineStr">
        <is>
          <t>ETFs/Indices</t>
        </is>
      </c>
      <c r="F2" s="17" t="inlineStr">
        <is>
          <t>Long</t>
        </is>
      </c>
      <c r="G2" s="17" t="n">
        <v>1</v>
      </c>
      <c r="H2" s="17" t="n">
        <v>1</v>
      </c>
      <c r="I2" s="17" t="n">
        <v>1</v>
      </c>
      <c r="J2" s="17" t="n">
        <v>0</v>
      </c>
      <c r="K2" s="17" t="n">
        <v>3</v>
      </c>
      <c r="L2" s="17" t="n">
        <v>144.1</v>
      </c>
      <c r="M2" s="17" t="n">
        <v>133</v>
      </c>
      <c r="N2" s="17" t="n">
        <v>156</v>
      </c>
      <c r="O2" s="17" t="n">
        <v>166</v>
      </c>
      <c r="P2" s="17" t="inlineStr">
        <is>
          <t>TSM miss / KOSPI &lt;5800 / DXY &gt;100</t>
        </is>
      </c>
      <c r="Q2" s="16" t="n">
        <v>46155</v>
      </c>
      <c r="R2" s="17" t="n">
        <v>18.36</v>
      </c>
      <c r="S2" s="17" t="inlineStr">
        <is>
          <t>Post-shock cautious risk-on</t>
        </is>
      </c>
      <c r="V2" s="17" t="inlineStr">
        <is>
          <t>YES</t>
        </is>
      </c>
      <c r="W2" s="17" t="inlineStr">
        <is>
          <t>HIT_STOP</t>
        </is>
      </c>
      <c r="X2" s="13" t="n">
        <v>145.39</v>
      </c>
      <c r="Y2" s="27" t="n">
        <v>46128</v>
      </c>
      <c r="Z2" s="13" t="n">
        <v>1</v>
      </c>
      <c r="AD2" s="13" t="n">
        <v>0.9</v>
      </c>
      <c r="AE2" s="17" t="inlineStr">
        <is>
          <t>trade-rec-2026-04-15.md v1</t>
        </is>
      </c>
      <c r="AF2" s="17" t="inlineStr">
        <is>
          <t>First promoted signal. Checklist 6/6 PASS. TAKEN 2026-04-15 22:36 UTC+8. Limit buy filled at $144.10 ($299.73 USDT). Within entry zone $143-$148. | EXIT 2026-04-16 21:55 UTC+8 stop-market @ $145.39. Held ~23h. Protective stop was tightened to ~0.9% above entry (well inside methodology ATR stop of $133); tripped on post-TSM chop before thesis played out. Reconciled 2026-04-17.</t>
        </is>
      </c>
    </row>
    <row r="3" ht="15" customHeight="1" s="14">
      <c r="A3" s="17" t="inlineStr">
        <is>
          <t>P002</t>
        </is>
      </c>
      <c r="B3" s="17" t="inlineStr">
        <is>
          <t>Promoted</t>
        </is>
      </c>
      <c r="C3" s="16" t="n">
        <v>46127</v>
      </c>
      <c r="D3" s="17" t="inlineStr">
        <is>
          <t>TSM</t>
        </is>
      </c>
      <c r="E3" s="17" t="inlineStr">
        <is>
          <t>Equities</t>
        </is>
      </c>
      <c r="F3" s="17" t="inlineStr">
        <is>
          <t>Long</t>
        </is>
      </c>
      <c r="G3" s="17" t="n">
        <v>1</v>
      </c>
      <c r="H3" s="17" t="n">
        <v>1</v>
      </c>
      <c r="I3" s="17" t="n">
        <v>1</v>
      </c>
      <c r="J3" s="17" t="n">
        <v>0</v>
      </c>
      <c r="K3" s="17" t="n">
        <v>3</v>
      </c>
      <c r="L3" s="17" t="n">
        <v>370.6</v>
      </c>
      <c r="M3" s="17" t="n">
        <v>334</v>
      </c>
      <c r="N3" s="17" t="n">
        <v>397</v>
      </c>
      <c r="O3" s="17" t="n">
        <v>424</v>
      </c>
      <c r="P3" s="17" t="inlineStr">
        <is>
          <t>Q1 miss / KOSPI &lt;5800 / DXY &gt;100</t>
        </is>
      </c>
      <c r="Q3" s="16" t="n">
        <v>46155</v>
      </c>
      <c r="R3" s="17" t="n">
        <v>18.36</v>
      </c>
      <c r="S3" s="17" t="inlineStr">
        <is>
          <t>Post-shock cautious risk-on</t>
        </is>
      </c>
      <c r="V3" s="17" t="inlineStr">
        <is>
          <t>CONDITIONAL</t>
        </is>
      </c>
      <c r="W3" s="17" t="inlineStr">
        <is>
          <t>DE-PROMOTED</t>
        </is>
      </c>
      <c r="AE3" s="17" t="inlineStr">
        <is>
          <t>trade-rec-2026-04-15.md v2</t>
        </is>
      </c>
      <c r="AF3" s="17" t="inlineStr">
        <is>
          <t>v3 DE-PROMOTION: residual flipped to -19.78% (T=-1). Sum +3→+1.</t>
        </is>
      </c>
    </row>
    <row r="4" ht="15" customHeight="1" s="14">
      <c r="A4" s="17" t="inlineStr">
        <is>
          <t>P003</t>
        </is>
      </c>
      <c r="B4" s="17" t="inlineStr">
        <is>
          <t>Promoted</t>
        </is>
      </c>
      <c r="C4" s="16" t="n">
        <v>46127</v>
      </c>
      <c r="D4" s="17" t="inlineStr">
        <is>
          <t>INTC</t>
        </is>
      </c>
      <c r="E4" s="17" t="inlineStr">
        <is>
          <t>Equities</t>
        </is>
      </c>
      <c r="F4" s="17" t="inlineStr">
        <is>
          <t>Long</t>
        </is>
      </c>
      <c r="G4" s="17" t="n">
        <v>1</v>
      </c>
      <c r="H4" s="17" t="n">
        <v>1</v>
      </c>
      <c r="I4" s="17" t="n">
        <v>1</v>
      </c>
      <c r="J4" s="17" t="n">
        <v>0</v>
      </c>
      <c r="K4" s="17" t="n">
        <v>3</v>
      </c>
      <c r="L4" s="17" t="n">
        <v>64.68000000000001</v>
      </c>
      <c r="M4" s="17" t="n">
        <v>56</v>
      </c>
      <c r="N4" s="17" t="n">
        <v>70</v>
      </c>
      <c r="O4" s="17" t="n">
        <v>77</v>
      </c>
      <c r="P4" s="17" t="inlineStr">
        <is>
          <t>Earnings miss / Terafab delay / trend break &lt;$55</t>
        </is>
      </c>
      <c r="Q4" s="16" t="n">
        <v>46155</v>
      </c>
      <c r="R4" s="17" t="n">
        <v>18.36</v>
      </c>
      <c r="S4" s="17" t="inlineStr">
        <is>
          <t>Post-shock cautious risk-on</t>
        </is>
      </c>
      <c r="V4" s="17" t="inlineStr">
        <is>
          <t>YES</t>
        </is>
      </c>
      <c r="W4" s="17" t="inlineStr">
        <is>
          <t>OPEN</t>
        </is>
      </c>
      <c r="AE4" s="17" t="inlineStr">
        <is>
          <t>trade-rec-2026-04-15.md v3</t>
        </is>
      </c>
      <c r="AF4" s="17" t="inlineStr">
        <is>
          <t>Residual +42.33% T=+1. Semi-correlated with EWY. TAKEN 2026-04-16 09:29 UTC+8. Market buy filled at $64.68 ($49.81 USDT). Above rec entry zone $60-$64; size reduced accordingly.</t>
        </is>
      </c>
    </row>
    <row r="5" ht="15" customHeight="1" s="14">
      <c r="A5" s="17" t="inlineStr">
        <is>
          <t>N001</t>
        </is>
      </c>
      <c r="B5" s="17" t="inlineStr">
        <is>
          <t>Near-Miss</t>
        </is>
      </c>
      <c r="C5" s="16" t="n">
        <v>46126</v>
      </c>
      <c r="D5" s="17" t="inlineStr">
        <is>
          <t>EWY</t>
        </is>
      </c>
      <c r="E5" s="17" t="inlineStr">
        <is>
          <t>ETFs/Indices</t>
        </is>
      </c>
      <c r="F5" s="17" t="inlineStr">
        <is>
          <t>Long</t>
        </is>
      </c>
      <c r="G5" s="17" t="n">
        <v>1</v>
      </c>
      <c r="H5" s="17" t="n">
        <v>1</v>
      </c>
      <c r="I5" s="17" t="n">
        <v>1</v>
      </c>
      <c r="J5" s="17" t="n">
        <v>0</v>
      </c>
      <c r="K5" s="17" t="n">
        <v>3</v>
      </c>
      <c r="S5" s="17" t="inlineStr">
        <is>
          <t>Energy-led reflation shock</t>
        </is>
      </c>
      <c r="T5" s="17" t="inlineStr">
        <is>
          <t>fail-loud</t>
        </is>
      </c>
      <c r="U5" s="17" t="inlineStr">
        <is>
          <t>Intermediary capital MISSING</t>
        </is>
      </c>
      <c r="W5" s="17" t="inlineStr">
        <is>
          <t>STILL_OPEN</t>
        </is>
      </c>
      <c r="AE5" s="17" t="inlineStr">
        <is>
          <t>trade-rec-2026-04-14.md</t>
        </is>
      </c>
      <c r="AF5" s="17" t="inlineStr">
        <is>
          <t>Sum=+3 on paper but checklist cannot pass.</t>
        </is>
      </c>
    </row>
    <row r="6" ht="15" customHeight="1" s="14">
      <c r="A6" s="17" t="inlineStr">
        <is>
          <t>N002</t>
        </is>
      </c>
      <c r="B6" s="17" t="inlineStr">
        <is>
          <t>Near-Miss</t>
        </is>
      </c>
      <c r="C6" s="16" t="n">
        <v>46126</v>
      </c>
      <c r="D6" s="17" t="inlineStr">
        <is>
          <t>Copper</t>
        </is>
      </c>
      <c r="E6" s="17" t="inlineStr">
        <is>
          <t>Commodities</t>
        </is>
      </c>
      <c r="F6" s="17" t="inlineStr">
        <is>
          <t>Long</t>
        </is>
      </c>
      <c r="G6" s="17" t="n">
        <v>1</v>
      </c>
      <c r="H6" s="17" t="n">
        <v>1</v>
      </c>
      <c r="I6" s="17" t="n">
        <v>0</v>
      </c>
      <c r="J6" s="17" t="n">
        <v>0</v>
      </c>
      <c r="K6" s="17" t="n">
        <v>2</v>
      </c>
      <c r="S6" s="17" t="inlineStr">
        <is>
          <t>Energy-led reflation shock</t>
        </is>
      </c>
      <c r="T6" s="17" t="inlineStr">
        <is>
          <t>C</t>
        </is>
      </c>
      <c r="U6" s="17" t="inlineStr">
        <is>
          <t>No imminent catalyst</t>
        </is>
      </c>
      <c r="W6" s="17" t="inlineStr">
        <is>
          <t>STILL_OPEN</t>
        </is>
      </c>
      <c r="AE6" s="17" t="inlineStr">
        <is>
          <t>trade-rec-2026-04-14.md</t>
        </is>
      </c>
      <c r="AF6" s="17" t="inlineStr">
        <is>
          <t>Cleanest S+T in metals; awaiting China data</t>
        </is>
      </c>
    </row>
    <row r="7" ht="15" customHeight="1" s="14">
      <c r="A7" s="17" t="inlineStr">
        <is>
          <t>N003</t>
        </is>
      </c>
      <c r="B7" s="17" t="inlineStr">
        <is>
          <t>Near-Miss</t>
        </is>
      </c>
      <c r="C7" s="16" t="n">
        <v>46126</v>
      </c>
      <c r="D7" s="17" t="inlineStr">
        <is>
          <t>Gold</t>
        </is>
      </c>
      <c r="E7" s="17" t="inlineStr">
        <is>
          <t>Commodities</t>
        </is>
      </c>
      <c r="F7" s="17" t="inlineStr">
        <is>
          <t>Long</t>
        </is>
      </c>
      <c r="G7" s="17" t="n">
        <v>1</v>
      </c>
      <c r="H7" s="17" t="n">
        <v>1</v>
      </c>
      <c r="I7" s="17" t="n">
        <v>1</v>
      </c>
      <c r="J7" s="17" t="n">
        <v>-1</v>
      </c>
      <c r="K7" s="17" t="n">
        <v>2</v>
      </c>
      <c r="S7" s="17" t="inlineStr">
        <is>
          <t>Energy-led reflation shock</t>
        </is>
      </c>
      <c r="T7" s="17" t="inlineStr">
        <is>
          <t>R</t>
        </is>
      </c>
      <c r="U7" s="17" t="inlineStr">
        <is>
          <t>Crowded positioning</t>
        </is>
      </c>
      <c r="W7" s="17" t="inlineStr">
        <is>
          <t>STILL_OPEN</t>
        </is>
      </c>
      <c r="AE7" s="17" t="inlineStr">
        <is>
          <t>trade-rec-2026-04-14.md</t>
        </is>
      </c>
      <c r="AF7" s="17" t="inlineStr">
        <is>
          <t>Correlation-gated with Silver/Copper</t>
        </is>
      </c>
    </row>
    <row r="8" ht="15" customHeight="1" s="14">
      <c r="A8" s="17" t="inlineStr">
        <is>
          <t>N004</t>
        </is>
      </c>
      <c r="B8" s="17" t="inlineStr">
        <is>
          <t>Near-Miss</t>
        </is>
      </c>
      <c r="C8" s="16" t="n">
        <v>46126</v>
      </c>
      <c r="D8" s="17" t="inlineStr">
        <is>
          <t>Silver</t>
        </is>
      </c>
      <c r="E8" s="17" t="inlineStr">
        <is>
          <t>Commodities</t>
        </is>
      </c>
      <c r="F8" s="17" t="inlineStr">
        <is>
          <t>Long</t>
        </is>
      </c>
      <c r="G8" s="17" t="n">
        <v>1</v>
      </c>
      <c r="H8" s="17" t="n">
        <v>1</v>
      </c>
      <c r="I8" s="17" t="n">
        <v>1</v>
      </c>
      <c r="J8" s="17" t="n">
        <v>-1</v>
      </c>
      <c r="K8" s="17" t="n">
        <v>2</v>
      </c>
      <c r="S8" s="17" t="inlineStr">
        <is>
          <t>Energy-led reflation shock</t>
        </is>
      </c>
      <c r="T8" s="17" t="inlineStr">
        <is>
          <t>R</t>
        </is>
      </c>
      <c r="U8" s="17" t="inlineStr">
        <is>
          <t>Crowded alongside gold</t>
        </is>
      </c>
      <c r="W8" s="17" t="inlineStr">
        <is>
          <t>STILL_OPEN</t>
        </is>
      </c>
      <c r="AE8" s="17" t="inlineStr">
        <is>
          <t>trade-rec-2026-04-14.md</t>
        </is>
      </c>
      <c r="AF8" s="17" t="inlineStr">
        <is>
          <t>Silver squeeze industrial demand breakout</t>
        </is>
      </c>
    </row>
    <row r="9" ht="15" customHeight="1" s="14">
      <c r="A9" s="17" t="inlineStr">
        <is>
          <t>N005</t>
        </is>
      </c>
      <c r="B9" s="17" t="inlineStr">
        <is>
          <t>Near-Miss</t>
        </is>
      </c>
      <c r="C9" s="16" t="n">
        <v>46126</v>
      </c>
      <c r="D9" s="17" t="inlineStr">
        <is>
          <t>Brent</t>
        </is>
      </c>
      <c r="E9" s="17" t="inlineStr">
        <is>
          <t>Commodities</t>
        </is>
      </c>
      <c r="F9" s="17" t="inlineStr">
        <is>
          <t>Long</t>
        </is>
      </c>
      <c r="G9" s="17" t="n">
        <v>1</v>
      </c>
      <c r="H9" s="17" t="n">
        <v>1</v>
      </c>
      <c r="I9" s="17" t="n">
        <v>1</v>
      </c>
      <c r="J9" s="17" t="n">
        <v>-1</v>
      </c>
      <c r="K9" s="17" t="n">
        <v>2</v>
      </c>
      <c r="S9" s="17" t="inlineStr">
        <is>
          <t>Energy-led reflation shock</t>
        </is>
      </c>
      <c r="T9" s="17" t="inlineStr">
        <is>
          <t>R</t>
        </is>
      </c>
      <c r="U9" s="17" t="inlineStr">
        <is>
          <t>Positioning crowded long on geopolitical premium</t>
        </is>
      </c>
      <c r="W9" s="17" t="inlineStr">
        <is>
          <t>STILL_OPEN</t>
        </is>
      </c>
      <c r="AE9" s="17" t="inlineStr">
        <is>
          <t>trade-rec-2026-04-14.md</t>
        </is>
      </c>
      <c r="AF9" s="17" t="inlineStr">
        <is>
          <t>Deep backwardation; basis-momentum MISSING</t>
        </is>
      </c>
    </row>
    <row r="10" ht="15" customHeight="1" s="14">
      <c r="A10" s="17" t="inlineStr">
        <is>
          <t>N006</t>
        </is>
      </c>
      <c r="B10" s="17" t="inlineStr">
        <is>
          <t>Near-Miss</t>
        </is>
      </c>
      <c r="C10" s="16" t="n">
        <v>46126</v>
      </c>
      <c r="D10" s="17" t="inlineStr">
        <is>
          <t>WTI</t>
        </is>
      </c>
      <c r="E10" s="17" t="inlineStr">
        <is>
          <t>Commodities</t>
        </is>
      </c>
      <c r="F10" s="17" t="inlineStr">
        <is>
          <t>Long</t>
        </is>
      </c>
      <c r="G10" s="17" t="n">
        <v>1</v>
      </c>
      <c r="H10" s="17" t="n">
        <v>1</v>
      </c>
      <c r="I10" s="17" t="n">
        <v>1</v>
      </c>
      <c r="J10" s="17" t="n">
        <v>-1</v>
      </c>
      <c r="K10" s="17" t="n">
        <v>2</v>
      </c>
      <c r="S10" s="17" t="inlineStr">
        <is>
          <t>Energy-led reflation shock</t>
        </is>
      </c>
      <c r="T10" s="17" t="inlineStr">
        <is>
          <t>R</t>
        </is>
      </c>
      <c r="U10" s="17" t="inlineStr">
        <is>
          <t>Positioning crowded long on geopolitical premium</t>
        </is>
      </c>
      <c r="W10" s="17" t="inlineStr">
        <is>
          <t>STILL_OPEN</t>
        </is>
      </c>
      <c r="AE10" s="17" t="inlineStr">
        <is>
          <t>trade-rec-2026-04-14.md</t>
        </is>
      </c>
      <c r="AF10" s="17" t="inlineStr">
        <is>
          <t>Basis-momentum divergence cap fired Apr-15</t>
        </is>
      </c>
    </row>
    <row r="11" ht="15" customHeight="1" s="14">
      <c r="A11" s="17" t="inlineStr">
        <is>
          <t>N007</t>
        </is>
      </c>
      <c r="B11" s="17" t="inlineStr">
        <is>
          <t>Near-Miss</t>
        </is>
      </c>
      <c r="C11" s="16" t="n">
        <v>46126</v>
      </c>
      <c r="D11" s="17" t="inlineStr">
        <is>
          <t>TSM</t>
        </is>
      </c>
      <c r="E11" s="17" t="inlineStr">
        <is>
          <t>Equities</t>
        </is>
      </c>
      <c r="F11" s="17" t="inlineStr">
        <is>
          <t>Long</t>
        </is>
      </c>
      <c r="G11" s="17" t="n">
        <v>1</v>
      </c>
      <c r="H11" s="17" t="n">
        <v>1</v>
      </c>
      <c r="I11" s="17" t="n">
        <v>1</v>
      </c>
      <c r="J11" s="17" t="n">
        <v>0</v>
      </c>
      <c r="K11" s="17" t="n">
        <v>3</v>
      </c>
      <c r="S11" s="17" t="inlineStr">
        <is>
          <t>Energy-led reflation shock</t>
        </is>
      </c>
      <c r="T11" s="17" t="inlineStr">
        <is>
          <t>fail-loud</t>
        </is>
      </c>
      <c r="U11" s="17" t="inlineStr">
        <is>
          <t>Residual momentum MISSING → PROMOTED to P002</t>
        </is>
      </c>
      <c r="W11" s="17" t="inlineStr">
        <is>
          <t>PROMOTED</t>
        </is>
      </c>
      <c r="AE11" s="17" t="inlineStr">
        <is>
          <t>trade-rec-2026-04-14.md</t>
        </is>
      </c>
      <c r="AF11" s="17" t="inlineStr">
        <is>
          <t>Graduated to P002 v2</t>
        </is>
      </c>
    </row>
    <row r="12" ht="15" customHeight="1" s="14">
      <c r="A12" s="17" t="inlineStr">
        <is>
          <t>N008</t>
        </is>
      </c>
      <c r="B12" s="17" t="inlineStr">
        <is>
          <t>Near-Miss</t>
        </is>
      </c>
      <c r="C12" s="16" t="n">
        <v>46126</v>
      </c>
      <c r="D12" s="17" t="inlineStr">
        <is>
          <t>AMZN</t>
        </is>
      </c>
      <c r="E12" s="17" t="inlineStr">
        <is>
          <t>Equities</t>
        </is>
      </c>
      <c r="F12" s="17" t="inlineStr">
        <is>
          <t>Long</t>
        </is>
      </c>
      <c r="G12" s="17" t="n">
        <v>1</v>
      </c>
      <c r="H12" s="17" t="n">
        <v>-1</v>
      </c>
      <c r="I12" s="17" t="n">
        <v>1</v>
      </c>
      <c r="J12" s="17" t="n">
        <v>0</v>
      </c>
      <c r="K12" s="17" t="n">
        <v>1</v>
      </c>
      <c r="S12" s="17" t="inlineStr">
        <is>
          <t>Energy-led reflation shock</t>
        </is>
      </c>
      <c r="T12" s="17" t="inlineStr">
        <is>
          <t>T</t>
        </is>
      </c>
      <c r="U12" s="17" t="inlineStr">
        <is>
          <t>Residual -9.3% (T=-1)</t>
        </is>
      </c>
      <c r="W12" s="17" t="inlineStr">
        <is>
          <t>STILL_OPEN</t>
        </is>
      </c>
      <c r="AE12" s="17" t="inlineStr">
        <is>
          <t>trade-rec-2026-04-14.md</t>
        </is>
      </c>
      <c r="AF12" s="17" t="inlineStr">
        <is>
          <t>v2 DEMOTED from +2</t>
        </is>
      </c>
    </row>
    <row r="13" ht="15" customHeight="1" s="14">
      <c r="A13" s="17" t="inlineStr">
        <is>
          <t>N009</t>
        </is>
      </c>
      <c r="B13" s="17" t="inlineStr">
        <is>
          <t>Near-Miss</t>
        </is>
      </c>
      <c r="C13" s="16" t="n">
        <v>46126</v>
      </c>
      <c r="D13" s="17" t="inlineStr">
        <is>
          <t>META</t>
        </is>
      </c>
      <c r="E13" s="17" t="inlineStr">
        <is>
          <t>Equities</t>
        </is>
      </c>
      <c r="F13" s="17" t="inlineStr">
        <is>
          <t>Long</t>
        </is>
      </c>
      <c r="G13" s="17" t="n">
        <v>1</v>
      </c>
      <c r="H13" s="17" t="n">
        <v>-1</v>
      </c>
      <c r="I13" s="17" t="n">
        <v>1</v>
      </c>
      <c r="J13" s="17" t="n">
        <v>0</v>
      </c>
      <c r="K13" s="17" t="n">
        <v>1</v>
      </c>
      <c r="S13" s="17" t="inlineStr">
        <is>
          <t>Energy-led reflation shock</t>
        </is>
      </c>
      <c r="T13" s="17" t="inlineStr">
        <is>
          <t>T</t>
        </is>
      </c>
      <c r="U13" s="17" t="inlineStr">
        <is>
          <t>Residual -12.1% (T=-1)</t>
        </is>
      </c>
      <c r="W13" s="17" t="inlineStr">
        <is>
          <t>STILL_OPEN</t>
        </is>
      </c>
      <c r="AE13" s="17" t="inlineStr">
        <is>
          <t>trade-rec-2026-04-14.md</t>
        </is>
      </c>
      <c r="AF13" s="17" t="inlineStr">
        <is>
          <t>v2 DEMOTED from +2</t>
        </is>
      </c>
    </row>
    <row r="14" ht="15" customHeight="1" s="14">
      <c r="A14" s="17" t="inlineStr">
        <is>
          <t>N010</t>
        </is>
      </c>
      <c r="B14" s="17" t="inlineStr">
        <is>
          <t>Near-Miss</t>
        </is>
      </c>
      <c r="C14" s="16" t="n">
        <v>46127</v>
      </c>
      <c r="D14" s="17" t="inlineStr">
        <is>
          <t>Gold</t>
        </is>
      </c>
      <c r="E14" s="17" t="inlineStr">
        <is>
          <t>Commodities</t>
        </is>
      </c>
      <c r="F14" s="17" t="inlineStr">
        <is>
          <t>Long</t>
        </is>
      </c>
      <c r="G14" s="17" t="n">
        <v>1</v>
      </c>
      <c r="H14" s="17" t="n">
        <v>1</v>
      </c>
      <c r="I14" s="17" t="n">
        <v>0</v>
      </c>
      <c r="J14" s="17" t="n">
        <v>0</v>
      </c>
      <c r="K14" s="17" t="n">
        <v>2</v>
      </c>
      <c r="R14" s="17" t="n">
        <v>18.36</v>
      </c>
      <c r="S14" s="17" t="inlineStr">
        <is>
          <t>Post-shock cautious risk-on</t>
        </is>
      </c>
      <c r="T14" s="17" t="inlineStr">
        <is>
          <t>C</t>
        </is>
      </c>
      <c r="U14" s="17" t="inlineStr">
        <is>
          <t>No near-term surprise catalyst</t>
        </is>
      </c>
      <c r="W14" s="17" t="inlineStr">
        <is>
          <t>OPEN</t>
        </is>
      </c>
      <c r="AE14" s="17" t="inlineStr">
        <is>
          <t>trade-rec-2026-04-15.md v3</t>
        </is>
      </c>
      <c r="AF14" s="17" t="inlineStr">
        <is>
          <t>Trigger: DXY &lt;97.5 or VIX spike</t>
        </is>
      </c>
    </row>
    <row r="15" ht="15" customHeight="1" s="14">
      <c r="A15" s="17" t="inlineStr">
        <is>
          <t>N011</t>
        </is>
      </c>
      <c r="B15" s="17" t="inlineStr">
        <is>
          <t>Near-Miss</t>
        </is>
      </c>
      <c r="C15" s="16" t="n">
        <v>46127</v>
      </c>
      <c r="D15" s="17" t="inlineStr">
        <is>
          <t>Silver</t>
        </is>
      </c>
      <c r="E15" s="17" t="inlineStr">
        <is>
          <t>Commodities</t>
        </is>
      </c>
      <c r="F15" s="17" t="inlineStr">
        <is>
          <t>Long</t>
        </is>
      </c>
      <c r="G15" s="17" t="n">
        <v>1</v>
      </c>
      <c r="H15" s="17" t="n">
        <v>1</v>
      </c>
      <c r="I15" s="17" t="n">
        <v>0</v>
      </c>
      <c r="J15" s="17" t="n">
        <v>0</v>
      </c>
      <c r="K15" s="17" t="n">
        <v>2</v>
      </c>
      <c r="R15" s="17" t="n">
        <v>18.36</v>
      </c>
      <c r="S15" s="17" t="inlineStr">
        <is>
          <t>Post-shock cautious risk-on</t>
        </is>
      </c>
      <c r="T15" s="17" t="inlineStr">
        <is>
          <t>C</t>
        </is>
      </c>
      <c r="U15" s="17" t="inlineStr">
        <is>
          <t>No catalyst beyond gold sympathy</t>
        </is>
      </c>
      <c r="W15" s="17" t="inlineStr">
        <is>
          <t>OPEN</t>
        </is>
      </c>
      <c r="AE15" s="17" t="inlineStr">
        <is>
          <t>trade-rec-2026-04-15.md v3</t>
        </is>
      </c>
      <c r="AF15" s="17" t="inlineStr">
        <is>
          <t>Breakout holding $79.67</t>
        </is>
      </c>
    </row>
    <row r="16" ht="15" customHeight="1" s="14">
      <c r="A16" s="17" t="inlineStr">
        <is>
          <t>N012</t>
        </is>
      </c>
      <c r="B16" s="17" t="inlineStr">
        <is>
          <t>Near-Miss</t>
        </is>
      </c>
      <c r="C16" s="16" t="n">
        <v>46127</v>
      </c>
      <c r="D16" s="17" t="inlineStr">
        <is>
          <t>Brent</t>
        </is>
      </c>
      <c r="E16" s="17" t="inlineStr">
        <is>
          <t>Commodities</t>
        </is>
      </c>
      <c r="F16" s="17" t="inlineStr">
        <is>
          <t>Long</t>
        </is>
      </c>
      <c r="G16" s="17" t="n">
        <v>1</v>
      </c>
      <c r="H16" s="17" t="n">
        <v>1</v>
      </c>
      <c r="I16" s="17" t="n">
        <v>-1</v>
      </c>
      <c r="J16" s="17" t="n">
        <v>0</v>
      </c>
      <c r="K16" s="17" t="n">
        <v>1</v>
      </c>
      <c r="R16" s="17" t="n">
        <v>18.36</v>
      </c>
      <c r="S16" s="17" t="inlineStr">
        <is>
          <t>Post-shock cautious risk-on</t>
        </is>
      </c>
      <c r="T16" s="17" t="inlineStr">
        <is>
          <t>C</t>
        </is>
      </c>
      <c r="U16" s="17" t="inlineStr">
        <is>
          <t>Iran ceasefire Apr-21 hostile catalyst</t>
        </is>
      </c>
      <c r="W16" s="17" t="inlineStr">
        <is>
          <t>OPEN</t>
        </is>
      </c>
      <c r="AE16" s="17" t="inlineStr">
        <is>
          <t>trade-rec-2026-04-15.md v3</t>
        </is>
      </c>
      <c r="AF16" s="17" t="inlineStr">
        <is>
          <t>Binary on Iran talks collapse</t>
        </is>
      </c>
    </row>
    <row r="17" ht="15" customHeight="1" s="14">
      <c r="A17" s="17" t="inlineStr">
        <is>
          <t>N013</t>
        </is>
      </c>
      <c r="B17" s="17" t="inlineStr">
        <is>
          <t>Near-Miss</t>
        </is>
      </c>
      <c r="C17" s="16" t="n">
        <v>46127</v>
      </c>
      <c r="D17" s="17" t="inlineStr">
        <is>
          <t>WDC</t>
        </is>
      </c>
      <c r="E17" s="17" t="inlineStr">
        <is>
          <t>Equities</t>
        </is>
      </c>
      <c r="F17" s="17" t="inlineStr">
        <is>
          <t>Long</t>
        </is>
      </c>
      <c r="G17" s="17" t="n">
        <v>1</v>
      </c>
      <c r="H17" s="17" t="n">
        <v>1</v>
      </c>
      <c r="I17" s="17" t="n">
        <v>0</v>
      </c>
      <c r="J17" s="17" t="n">
        <v>0</v>
      </c>
      <c r="K17" s="17" t="n">
        <v>2</v>
      </c>
      <c r="R17" s="17" t="n">
        <v>18.36</v>
      </c>
      <c r="S17" s="17" t="inlineStr">
        <is>
          <t>Post-shock cautious risk-on</t>
        </is>
      </c>
      <c r="T17" s="17" t="inlineStr">
        <is>
          <t>C</t>
        </is>
      </c>
      <c r="U17" s="17" t="inlineStr">
        <is>
          <t>No fresh catalyst</t>
        </is>
      </c>
      <c r="W17" s="17" t="inlineStr">
        <is>
          <t>OPEN</t>
        </is>
      </c>
      <c r="AE17" s="17" t="inlineStr">
        <is>
          <t>trade-rec-2026-04-15.md v3</t>
        </is>
      </c>
      <c r="AF17" s="17" t="inlineStr">
        <is>
          <t>Residual +20.62% T=+1</t>
        </is>
      </c>
    </row>
    <row r="18" ht="15" customHeight="1" s="14">
      <c r="A18" s="17" t="inlineStr">
        <is>
          <t>N014</t>
        </is>
      </c>
      <c r="B18" s="17" t="inlineStr">
        <is>
          <t>Near-Miss</t>
        </is>
      </c>
      <c r="C18" s="16" t="n">
        <v>46127</v>
      </c>
      <c r="D18" s="17" t="inlineStr">
        <is>
          <t>TSM</t>
        </is>
      </c>
      <c r="E18" s="17" t="inlineStr">
        <is>
          <t>Equities</t>
        </is>
      </c>
      <c r="F18" s="17" t="inlineStr">
        <is>
          <t>Long</t>
        </is>
      </c>
      <c r="G18" s="17" t="n">
        <v>1</v>
      </c>
      <c r="H18" s="17" t="n">
        <v>-1</v>
      </c>
      <c r="I18" s="17" t="n">
        <v>1</v>
      </c>
      <c r="J18" s="17" t="n">
        <v>0</v>
      </c>
      <c r="K18" s="17" t="n">
        <v>1</v>
      </c>
      <c r="R18" s="17" t="n">
        <v>18.36</v>
      </c>
      <c r="S18" s="17" t="inlineStr">
        <is>
          <t>Post-shock cautious risk-on</t>
        </is>
      </c>
      <c r="T18" s="17" t="inlineStr">
        <is>
          <t>T</t>
        </is>
      </c>
      <c r="U18" s="17" t="inlineStr">
        <is>
          <t>Residual -19.78% (T=-1)</t>
        </is>
      </c>
      <c r="W18" s="17" t="inlineStr">
        <is>
          <t>OPEN</t>
        </is>
      </c>
      <c r="AE18" s="17" t="inlineStr">
        <is>
          <t>trade-rec-2026-04-15.md v3</t>
        </is>
      </c>
      <c r="AF18" s="17" t="inlineStr">
        <is>
          <t>v3 de-promotion from P002</t>
        </is>
      </c>
    </row>
    <row r="19">
      <c r="A19" s="13" t="inlineStr">
        <is>
          <t>N015</t>
        </is>
      </c>
      <c r="B19" s="13" t="inlineStr">
        <is>
          <t>Near-Miss</t>
        </is>
      </c>
      <c r="C19" s="26" t="n">
        <v>46128</v>
      </c>
      <c r="D19" s="13" t="inlineStr">
        <is>
          <t>Copper</t>
        </is>
      </c>
      <c r="E19" s="13" t="inlineStr">
        <is>
          <t>Commodities</t>
        </is>
      </c>
      <c r="F19" s="13" t="inlineStr">
        <is>
          <t>Long</t>
        </is>
      </c>
      <c r="G19" s="13" t="n">
        <v>1</v>
      </c>
      <c r="H19" s="13" t="n">
        <v>1</v>
      </c>
      <c r="I19" s="13" t="n">
        <v>0</v>
      </c>
      <c r="J19" s="13" t="n">
        <v>0</v>
      </c>
      <c r="K19" s="13" t="n">
        <v>2</v>
      </c>
      <c r="R19" s="13" t="n">
        <v>18.17</v>
      </c>
      <c r="S19" s="13" t="inlineStr">
        <is>
          <t>Post-shock cautious risk-on, accelerating but narrowing</t>
        </is>
      </c>
      <c r="T19" s="13" t="inlineStr">
        <is>
          <t>C</t>
        </is>
      </c>
      <c r="U19" s="13" t="inlineStr">
        <is>
          <t>No catalyst (need China PMI &gt;50.5)</t>
        </is>
      </c>
      <c r="W19" s="13" t="inlineStr">
        <is>
          <t>OPEN</t>
        </is>
      </c>
      <c r="AE19" s="13" t="inlineStr">
        <is>
          <t>trade-rec-2026-04-16.md v2</t>
        </is>
      </c>
      <c r="AF19" s="13" t="inlineStr">
        <is>
          <t>Unchanged from prior</t>
        </is>
      </c>
    </row>
    <row r="20">
      <c r="A20" s="13" t="inlineStr">
        <is>
          <t>N016</t>
        </is>
      </c>
      <c r="B20" s="13" t="inlineStr">
        <is>
          <t>Near-Miss</t>
        </is>
      </c>
      <c r="C20" s="26" t="n">
        <v>46128</v>
      </c>
      <c r="D20" s="13" t="inlineStr">
        <is>
          <t>Brent</t>
        </is>
      </c>
      <c r="E20" s="13" t="inlineStr">
        <is>
          <t>Commodities</t>
        </is>
      </c>
      <c r="F20" s="13" t="inlineStr">
        <is>
          <t>Long</t>
        </is>
      </c>
      <c r="G20" s="13" t="n">
        <v>1</v>
      </c>
      <c r="H20" s="13" t="n">
        <v>1</v>
      </c>
      <c r="I20" s="13" t="n">
        <v>-1</v>
      </c>
      <c r="J20" s="13" t="n">
        <v>1</v>
      </c>
      <c r="K20" s="13" t="n">
        <v>2</v>
      </c>
      <c r="R20" s="13" t="n">
        <v>18.17</v>
      </c>
      <c r="S20" s="13" t="inlineStr">
        <is>
          <t>Post-shock cautious risk-on, accelerating but narrowing</t>
        </is>
      </c>
      <c r="T20" s="13" t="inlineStr">
        <is>
          <t>C</t>
        </is>
      </c>
      <c r="U20" s="13" t="inlineStr">
        <is>
          <t>Iran ceasefire hostile catalyst; extension in principle</t>
        </is>
      </c>
      <c r="W20" s="13" t="inlineStr">
        <is>
          <t>OPEN</t>
        </is>
      </c>
      <c r="AE20" s="13" t="inlineStr">
        <is>
          <t>trade-rec-2026-04-16.md v2</t>
        </is>
      </c>
      <c r="AF20" s="13" t="inlineStr">
        <is>
          <t>Binary on Apr-21; failed to rally on bullish EIA</t>
        </is>
      </c>
    </row>
    <row r="21">
      <c r="A21" s="13" t="inlineStr">
        <is>
          <t>N017</t>
        </is>
      </c>
      <c r="B21" s="13" t="inlineStr">
        <is>
          <t>Near-Miss</t>
        </is>
      </c>
      <c r="C21" s="26" t="n">
        <v>46128</v>
      </c>
      <c r="D21" s="13" t="inlineStr">
        <is>
          <t>TSM</t>
        </is>
      </c>
      <c r="E21" s="13" t="inlineStr">
        <is>
          <t>Equities</t>
        </is>
      </c>
      <c r="F21" s="13" t="inlineStr">
        <is>
          <t>Long</t>
        </is>
      </c>
      <c r="G21" s="13" t="n">
        <v>1</v>
      </c>
      <c r="H21" s="13" t="n">
        <v>-1</v>
      </c>
      <c r="I21" s="13" t="n">
        <v>0</v>
      </c>
      <c r="J21" s="13" t="n">
        <v>0</v>
      </c>
      <c r="K21" s="13" t="n">
        <v>0</v>
      </c>
      <c r="R21" s="13" t="n">
        <v>18.17</v>
      </c>
      <c r="S21" s="13" t="inlineStr">
        <is>
          <t>Post-shock cautious risk-on, accelerating but narrowing</t>
        </is>
      </c>
      <c r="T21" s="13" t="inlineStr">
        <is>
          <t>T</t>
        </is>
      </c>
      <c r="U21" s="13" t="inlineStr">
        <is>
          <t>Residual -19.78% (T=-1); post-catalyst C=0</t>
        </is>
      </c>
      <c r="W21" s="13" t="inlineStr">
        <is>
          <t>OPEN</t>
        </is>
      </c>
      <c r="AE21" s="13" t="inlineStr">
        <is>
          <t>trade-rec-2026-04-16.md v2</t>
        </is>
      </c>
      <c r="AF21" s="13" t="inlineStr">
        <is>
          <t>Q1 beat but T-block persists</t>
        </is>
      </c>
    </row>
    <row r="22">
      <c r="A22" s="13" t="inlineStr">
        <is>
          <t>P004</t>
        </is>
      </c>
      <c r="B22" s="13" t="inlineStr">
        <is>
          <t>Promoted</t>
        </is>
      </c>
      <c r="C22" s="26" t="n">
        <v>46128</v>
      </c>
      <c r="D22" s="13" t="inlineStr">
        <is>
          <t>Gold</t>
        </is>
      </c>
      <c r="E22" s="13" t="inlineStr">
        <is>
          <t>Commodities</t>
        </is>
      </c>
      <c r="F22" s="13" t="inlineStr">
        <is>
          <t>Long</t>
        </is>
      </c>
      <c r="G22" s="13" t="n">
        <v>1</v>
      </c>
      <c r="H22" s="13" t="n">
        <v>1</v>
      </c>
      <c r="I22" s="13" t="n">
        <v>1</v>
      </c>
      <c r="J22" s="13" t="n">
        <v>0</v>
      </c>
      <c r="K22" s="13" t="n">
        <v>3</v>
      </c>
      <c r="L22" s="13" t="n">
        <v>4840</v>
      </c>
      <c r="M22" s="13" t="n">
        <v>4640</v>
      </c>
      <c r="N22" s="13" t="n">
        <v>4990</v>
      </c>
      <c r="O22" s="13" t="n">
        <v>5140</v>
      </c>
      <c r="P22" s="13" t="inlineStr">
        <is>
          <t>DXY &gt;100; DFII10 &gt;2.2%; Gold &lt;$4,640</t>
        </is>
      </c>
      <c r="Q22" s="26" t="n">
        <v>46156</v>
      </c>
      <c r="R22" s="13" t="n">
        <v>18.19</v>
      </c>
      <c r="S22" s="13" t="inlineStr">
        <is>
          <t>Broad risk-on</t>
        </is>
      </c>
      <c r="V22" s="13" t="inlineStr">
        <is>
          <t>YES</t>
        </is>
      </c>
      <c r="W22" s="13" t="inlineStr">
        <is>
          <t>OPEN</t>
        </is>
      </c>
      <c r="AE22" s="13" t="inlineStr">
        <is>
          <t>trade-rec-2026-04-16.md v2</t>
        </is>
      </c>
      <c r="AF22" s="13" t="inlineStr">
        <is>
          <t>Iran ceasefire Apr-21 = C+1. Basis-momentum MISSING but Gold S from DXY/real yields. Checklist 6/6 PASS. Reaffirmed v3: basis-momentum confirmed (contango, no divergence cap). | EXECUTED 2026-04-16 22:28 UTC+8 at actual fill $4,780.69 (trailing buy triggered ≤$4,798.34, 0.1% callback); size $396.80 USDT ~0.0830 oz. Fill BELOW stated entry zone $4,800–$4,860 — trailing stop caught the dip, favorable. Entry_Price kept as signal-time $4,840. Reconciled 2026-04-17.</t>
        </is>
      </c>
    </row>
    <row r="23">
      <c r="A23" s="13" t="inlineStr">
        <is>
          <t>N018</t>
        </is>
      </c>
      <c r="B23" s="13" t="inlineStr">
        <is>
          <t>Near-Miss</t>
        </is>
      </c>
      <c r="C23" s="26" t="n">
        <v>46128</v>
      </c>
      <c r="D23" s="13" t="inlineStr">
        <is>
          <t>SPY</t>
        </is>
      </c>
      <c r="E23" s="13" t="inlineStr">
        <is>
          <t>ETFs/Indices</t>
        </is>
      </c>
      <c r="F23" s="13" t="inlineStr">
        <is>
          <t>Long</t>
        </is>
      </c>
      <c r="G23" s="13" t="n">
        <v>1</v>
      </c>
      <c r="H23" s="13" t="n">
        <v>1</v>
      </c>
      <c r="I23" s="13" t="n">
        <v>0</v>
      </c>
      <c r="J23" s="13" t="n">
        <v>1</v>
      </c>
      <c r="K23" s="13" t="n">
        <v>3</v>
      </c>
      <c r="R23" s="13" t="n">
        <v>18.19</v>
      </c>
      <c r="S23" s="13" t="inlineStr">
        <is>
          <t>Broad risk-on</t>
        </is>
      </c>
      <c r="T23" s="13" t="inlineStr">
        <is>
          <t>Correlation</t>
        </is>
      </c>
      <c r="U23" s="13" t="inlineStr">
        <is>
          <t>Correlation gate with EWY/INTC; C=0 no catalyst; dominated by QQQ</t>
        </is>
      </c>
      <c r="W23" s="13" t="inlineStr">
        <is>
          <t>OPEN</t>
        </is>
      </c>
      <c r="AE23" s="13" t="inlineStr">
        <is>
          <t>trade-rec-2026-04-16.md v2</t>
        </is>
      </c>
      <c r="AF23" s="13" t="inlineStr">
        <is>
          <t>Sum +3 but not promoted. FOMC Apr-28 risk.</t>
        </is>
      </c>
    </row>
    <row r="24">
      <c r="A24" s="13" t="inlineStr">
        <is>
          <t>N019</t>
        </is>
      </c>
      <c r="B24" s="13" t="inlineStr">
        <is>
          <t>Near-Miss</t>
        </is>
      </c>
      <c r="C24" s="26" t="n">
        <v>46128</v>
      </c>
      <c r="D24" s="13" t="inlineStr">
        <is>
          <t>QQQ</t>
        </is>
      </c>
      <c r="E24" s="13" t="inlineStr">
        <is>
          <t>ETFs/Indices</t>
        </is>
      </c>
      <c r="F24" s="13" t="inlineStr">
        <is>
          <t>Long</t>
        </is>
      </c>
      <c r="G24" s="13" t="n">
        <v>1</v>
      </c>
      <c r="H24" s="13" t="n">
        <v>1</v>
      </c>
      <c r="I24" s="13" t="n">
        <v>1</v>
      </c>
      <c r="J24" s="13" t="n">
        <v>1</v>
      </c>
      <c r="K24" s="13" t="n">
        <v>4</v>
      </c>
      <c r="R24" s="13" t="n">
        <v>18.19</v>
      </c>
      <c r="S24" s="13" t="inlineStr">
        <is>
          <t>Broad risk-on</t>
        </is>
      </c>
      <c r="T24" s="13" t="inlineStr">
        <is>
          <t>Correlation</t>
        </is>
      </c>
      <c r="U24" s="13" t="inlineStr">
        <is>
          <t>Correlation gate with EWY/INTC; FOMC Apr-28 risk; deferred to Gerald</t>
        </is>
      </c>
      <c r="W24" s="13" t="inlineStr">
        <is>
          <t>OPEN</t>
        </is>
      </c>
      <c r="AE24" s="13" t="inlineStr">
        <is>
          <t>trade-rec-2026-04-16.md v2</t>
        </is>
      </c>
      <c r="AF24" s="13" t="inlineStr">
        <is>
          <t>Strongest signal (Sum +4). Flagged for Gerald evaluation. | Superseded by P005 promoted ad-hoc 2026-04-17 after overnight gap-test cleared. Status unchanged per protocol — signal-review still marks to market; cross-link prevents double-count.</t>
        </is>
      </c>
    </row>
    <row r="25">
      <c r="A25" s="13" t="inlineStr">
        <is>
          <t>N020</t>
        </is>
      </c>
      <c r="B25" s="13" t="inlineStr">
        <is>
          <t>Near-Miss</t>
        </is>
      </c>
      <c r="C25" s="26" t="n">
        <v>46128</v>
      </c>
      <c r="D25" s="13" t="inlineStr">
        <is>
          <t>GOOGL</t>
        </is>
      </c>
      <c r="E25" s="13" t="inlineStr">
        <is>
          <t>Equities</t>
        </is>
      </c>
      <c r="F25" s="13" t="inlineStr">
        <is>
          <t>Long</t>
        </is>
      </c>
      <c r="G25" s="13" t="n">
        <v>1</v>
      </c>
      <c r="H25" s="13" t="n">
        <v>1</v>
      </c>
      <c r="I25" s="13" t="n">
        <v>1</v>
      </c>
      <c r="J25" s="13" t="n">
        <v>0</v>
      </c>
      <c r="K25" s="13" t="n">
        <v>3</v>
      </c>
      <c r="P25" s="13" t="inlineStr">
        <is>
          <t>Earnings miss; trend break; DXY &gt;100</t>
        </is>
      </c>
      <c r="Q25" s="26" t="n">
        <v>46156</v>
      </c>
      <c r="R25" s="13" t="n">
        <v>18.19</v>
      </c>
      <c r="S25" s="13" t="inlineStr">
        <is>
          <t>Broad risk-on — equity records, vol compression, DXY sub-99. Iran binary Apr-21.</t>
        </is>
      </c>
      <c r="T25" s="13" t="inlineStr">
        <is>
          <t>Correlation</t>
        </is>
      </c>
      <c r="U25" s="13" t="inlineStr">
        <is>
          <t>Corr gate cautionary with EWY/INTC; deferred to Gerald; +6.01% rally raises bar</t>
        </is>
      </c>
      <c r="W25" s="13" t="inlineStr">
        <is>
          <t>OPEN</t>
        </is>
      </c>
      <c r="AE25" s="13" t="inlineStr">
        <is>
          <t>trade-rec-2026-04-16.md v3</t>
        </is>
      </c>
      <c r="AF25" s="13" t="inlineStr">
        <is>
          <t>NEW v3 — T unblocked by residual +30.52% (audit staging). Sum +3. Flagged for Gerald. Earnings Apr-22.</t>
        </is>
      </c>
    </row>
    <row r="26">
      <c r="A26" s="13" t="inlineStr">
        <is>
          <t>N021</t>
        </is>
      </c>
      <c r="B26" s="13" t="inlineStr">
        <is>
          <t>Near-Miss</t>
        </is>
      </c>
      <c r="C26" s="26" t="n">
        <v>46128</v>
      </c>
      <c r="D26" s="13" t="inlineStr">
        <is>
          <t>TSM</t>
        </is>
      </c>
      <c r="E26" s="13" t="inlineStr">
        <is>
          <t>Equities</t>
        </is>
      </c>
      <c r="F26" s="13" t="inlineStr">
        <is>
          <t>Long</t>
        </is>
      </c>
      <c r="G26" s="13" t="n">
        <v>1</v>
      </c>
      <c r="H26" s="13" t="n">
        <v>1</v>
      </c>
      <c r="I26" s="13" t="n">
        <v>0</v>
      </c>
      <c r="J26" s="13" t="n">
        <v>0</v>
      </c>
      <c r="K26" s="13" t="n">
        <v>2</v>
      </c>
      <c r="P26" s="13" t="inlineStr">
        <is>
          <t>Earnings miss Q2; KOSPI &lt;5800</t>
        </is>
      </c>
      <c r="Q26" s="26" t="n">
        <v>46156</v>
      </c>
      <c r="R26" s="13" t="n">
        <v>18.19</v>
      </c>
      <c r="S26" s="13" t="inlineStr">
        <is>
          <t>Broad risk-on — equity records, vol compression, DXY sub-99. Iran binary Apr-21.</t>
        </is>
      </c>
      <c r="T26" s="13" t="inlineStr">
        <is>
          <t>C</t>
        </is>
      </c>
      <c r="U26" s="13" t="inlineStr">
        <is>
          <t>Post-catalyst C=0 (Q1 beat consumed). T flipped -1 to +1 (residual +21.59%)</t>
        </is>
      </c>
      <c r="W26" s="13" t="inlineStr">
        <is>
          <t>OPEN</t>
        </is>
      </c>
      <c r="AE26" s="13" t="inlineStr">
        <is>
          <t>trade-rec-2026-04-16.md v3</t>
        </is>
      </c>
      <c r="AF26" s="13" t="inlineStr">
        <is>
          <t>Score change from N017. T upgraded -1→+1 via residual momentum (audit-addition). Sum 0→+2.</t>
        </is>
      </c>
    </row>
    <row r="27">
      <c r="A27" s="13" t="inlineStr">
        <is>
          <t>N022</t>
        </is>
      </c>
      <c r="B27" s="13" t="inlineStr">
        <is>
          <t>Near-Miss</t>
        </is>
      </c>
      <c r="C27" s="26" t="n">
        <v>46128</v>
      </c>
      <c r="D27" s="13" t="inlineStr">
        <is>
          <t>NVDA</t>
        </is>
      </c>
      <c r="E27" s="13" t="inlineStr">
        <is>
          <t>Equities</t>
        </is>
      </c>
      <c r="F27" s="13" t="inlineStr">
        <is>
          <t>Long</t>
        </is>
      </c>
      <c r="G27" s="13" t="n">
        <v>1</v>
      </c>
      <c r="H27" s="13" t="n">
        <v>1</v>
      </c>
      <c r="I27" s="13" t="n">
        <v>0</v>
      </c>
      <c r="J27" s="13" t="n">
        <v>0</v>
      </c>
      <c r="K27" s="13" t="n">
        <v>2</v>
      </c>
      <c r="P27" s="13" t="inlineStr">
        <is>
          <t>Trend break; no catalyst</t>
        </is>
      </c>
      <c r="Q27" s="26" t="n">
        <v>46156</v>
      </c>
      <c r="R27" s="13" t="n">
        <v>18.19</v>
      </c>
      <c r="S27" s="13" t="inlineStr">
        <is>
          <t>Broad risk-on — equity records, vol compression, DXY sub-99. Iran binary Apr-21.</t>
        </is>
      </c>
      <c r="T27" s="13" t="inlineStr">
        <is>
          <t>C</t>
        </is>
      </c>
      <c r="U27" s="13" t="inlineStr">
        <is>
          <t>No near-term catalyst. Residual +7.18% (weakest T=+1)</t>
        </is>
      </c>
      <c r="W27" s="13" t="inlineStr">
        <is>
          <t>OPEN</t>
        </is>
      </c>
      <c r="AE27" s="13" t="inlineStr">
        <is>
          <t>trade-rec-2026-04-16.md v3</t>
        </is>
      </c>
      <c r="AF27" s="13" t="inlineStr">
        <is>
          <t>NEW v3 — T unblocked by residual +7.18%. Weak T=+1; could flip.</t>
        </is>
      </c>
    </row>
    <row r="28">
      <c r="A28" s="13" t="inlineStr">
        <is>
          <t>N023</t>
        </is>
      </c>
      <c r="B28" s="13" t="inlineStr">
        <is>
          <t>Near-Miss</t>
        </is>
      </c>
      <c r="C28" s="26" t="n">
        <v>46128</v>
      </c>
      <c r="D28" s="13" t="inlineStr">
        <is>
          <t>MU</t>
        </is>
      </c>
      <c r="E28" s="13" t="inlineStr">
        <is>
          <t>Equities</t>
        </is>
      </c>
      <c r="F28" s="13" t="inlineStr">
        <is>
          <t>Long</t>
        </is>
      </c>
      <c r="G28" s="13" t="n">
        <v>1</v>
      </c>
      <c r="H28" s="13" t="n">
        <v>1</v>
      </c>
      <c r="I28" s="13" t="n">
        <v>0</v>
      </c>
      <c r="J28" s="13" t="n">
        <v>0</v>
      </c>
      <c r="K28" s="13" t="n">
        <v>2</v>
      </c>
      <c r="P28" s="13" t="inlineStr">
        <is>
          <t>Trend break; earnings miss</t>
        </is>
      </c>
      <c r="Q28" s="26" t="n">
        <v>46156</v>
      </c>
      <c r="R28" s="13" t="n">
        <v>18.19</v>
      </c>
      <c r="S28" s="13" t="inlineStr">
        <is>
          <t>Broad risk-on — equity records, vol compression, DXY sub-99. Iran binary Apr-21.</t>
        </is>
      </c>
      <c r="T28" s="13" t="inlineStr">
        <is>
          <t>C</t>
        </is>
      </c>
      <c r="U28" s="13" t="inlineStr">
        <is>
          <t>No near-term catalyst. Residual +89.52%</t>
        </is>
      </c>
      <c r="W28" s="13" t="inlineStr">
        <is>
          <t>OPEN</t>
        </is>
      </c>
      <c r="AE28" s="13" t="inlineStr">
        <is>
          <t>trade-rec-2026-04-16.md v3</t>
        </is>
      </c>
      <c r="AF28" s="13" t="inlineStr">
        <is>
          <t>NEW v3 — T unblocked by residual +89.52%. Strongest residual in universe.</t>
        </is>
      </c>
    </row>
    <row r="29">
      <c r="A29" s="13" t="inlineStr">
        <is>
          <t>P005</t>
        </is>
      </c>
      <c r="B29" s="13" t="inlineStr">
        <is>
          <t>Promoted</t>
        </is>
      </c>
      <c r="C29" s="27" t="n">
        <v>46129</v>
      </c>
      <c r="D29" s="13" t="inlineStr">
        <is>
          <t>QQQ</t>
        </is>
      </c>
      <c r="E29" s="13" t="inlineStr">
        <is>
          <t>ETFs/Indices</t>
        </is>
      </c>
      <c r="F29" s="13" t="inlineStr">
        <is>
          <t>Long</t>
        </is>
      </c>
      <c r="G29" s="13" t="n">
        <v>1</v>
      </c>
      <c r="H29" s="13" t="n">
        <v>1</v>
      </c>
      <c r="I29" s="13" t="n">
        <v>1</v>
      </c>
      <c r="J29" s="13" t="n">
        <v>1</v>
      </c>
      <c r="K29" s="13" t="n">
        <v>4</v>
      </c>
      <c r="L29" s="13" t="n">
        <v>640.09</v>
      </c>
      <c r="R29" s="13" t="n">
        <v>18.19</v>
      </c>
      <c r="S29" s="13" t="inlineStr">
        <is>
          <t>Broad risk-on</t>
        </is>
      </c>
      <c r="V29" s="13" t="inlineStr">
        <is>
          <t>YES</t>
        </is>
      </c>
      <c r="W29" s="13" t="inlineStr">
        <is>
          <t>OPEN</t>
        </is>
      </c>
      <c r="AE29" s="13" t="inlineStr">
        <is>
          <t>trade-rec-2026-04-16.md (promoted ad-hoc from N019)</t>
        </is>
      </c>
      <c r="AF29" s="13" t="inlineStr">
        <is>
          <t>Promoted ad-hoc from N019 (Sum=+4, flagged strongest signal). Two tranches: tranche 1 $198.10 @ $639.04 trailing buy fill 2026-04-17 00:02 UTC+8; tranche 2 $198.75 @ $641.14 limit fill 2026-04-17 00:13 UTC+8. Combined $396.85 USDT, avg entry $640.09. Reason for ad-hoc promotion: strongest NEW Sum+4 signal (TSM AI validation + NDX records + vol compression); blocking condition cleared overnight. Reconciled 2026-04-17.</t>
        </is>
      </c>
    </row>
    <row r="30">
      <c r="A30" t="inlineStr">
        <is>
          <t>N024</t>
        </is>
      </c>
      <c r="B30" t="inlineStr">
        <is>
          <t>Near-Miss</t>
        </is>
      </c>
      <c r="C30" s="27" t="n">
        <v>46129</v>
      </c>
      <c r="D30" t="inlineStr">
        <is>
          <t>GOOGL</t>
        </is>
      </c>
      <c r="E30" t="inlineStr">
        <is>
          <t>Equity-single</t>
        </is>
      </c>
      <c r="F30" t="inlineStr">
        <is>
          <t>Long</t>
        </is>
      </c>
      <c r="G30" t="n">
        <v>1</v>
      </c>
      <c r="H30" t="n">
        <v>0</v>
      </c>
      <c r="I30" t="n">
        <v>1</v>
      </c>
      <c r="J30" t="n">
        <v>0</v>
      </c>
      <c r="K30" t="n">
        <v>2</v>
      </c>
      <c r="L30" t="n">
        <v>336.9</v>
      </c>
      <c r="R30" t="n">
        <v>17.92</v>
      </c>
      <c r="S30" t="inlineStr">
        <is>
          <t>Broad risk-on — equity fresh highs, oil correction on Iran deal progress, vol compression deepening</t>
        </is>
      </c>
      <c r="T30" t="inlineStr">
        <is>
          <t>T</t>
        </is>
      </c>
      <c r="U30" t="inlineStr">
        <is>
          <t>Residual momentum -0.80% → T=0 (raw TSMOM +64.84% entirely factor-driven; trust residual per methodology). DOWNGRADED from +3 ref (Apr-16 N020) to +2 actual.</t>
        </is>
      </c>
      <c r="V30" t="inlineStr">
        <is>
          <t>No</t>
        </is>
      </c>
      <c r="W30" t="inlineStr">
        <is>
          <t>OPEN</t>
        </is>
      </c>
      <c r="AE30" t="inlineStr">
        <is>
          <t>trade-rec-2026-04-17.md v1</t>
        </is>
      </c>
      <c r="AF30" t="inlineStr">
        <is>
          <t>Audit-addition (residual-mom) decision-moving BLOCK. Earnings Apr-22 critical binary; C+1 at ceiling without T.</t>
        </is>
      </c>
    </row>
    <row r="31">
      <c r="A31" t="inlineStr">
        <is>
          <t>N025</t>
        </is>
      </c>
      <c r="B31" t="inlineStr">
        <is>
          <t>Near-Miss</t>
        </is>
      </c>
      <c r="C31" s="27" t="n">
        <v>46129</v>
      </c>
      <c r="D31" t="inlineStr">
        <is>
          <t>EWY</t>
        </is>
      </c>
      <c r="E31" t="inlineStr">
        <is>
          <t>ETF</t>
        </is>
      </c>
      <c r="F31" t="inlineStr">
        <is>
          <t>Long</t>
        </is>
      </c>
      <c r="G31" t="n">
        <v>1</v>
      </c>
      <c r="H31" t="n">
        <v>1</v>
      </c>
      <c r="I31" t="n">
        <v>0</v>
      </c>
      <c r="J31" t="n">
        <v>0</v>
      </c>
      <c r="K31" t="n">
        <v>2</v>
      </c>
      <c r="L31" t="n">
        <v>153.72</v>
      </c>
      <c r="R31" t="n">
        <v>17.92</v>
      </c>
      <c r="S31" t="inlineStr">
        <is>
          <t>Broad risk-on — equity fresh highs, oil correction on Iran deal progress, vol compression deepening</t>
        </is>
      </c>
      <c r="T31" t="inlineStr">
        <is>
          <t>C</t>
        </is>
      </c>
      <c r="U31" t="inlineStr">
        <is>
          <t>Post-TSM-earnings; no fresh catalyst until Xi-Trump summit May-14/15.</t>
        </is>
      </c>
      <c r="V31" t="inlineStr">
        <is>
          <t>No</t>
        </is>
      </c>
      <c r="W31" t="inlineStr">
        <is>
          <t>OPEN</t>
        </is>
      </c>
      <c r="AE31" t="inlineStr">
        <is>
          <t>trade-rec-2026-04-17.md v1</t>
        </is>
      </c>
      <c r="AF31" t="inlineStr">
        <is>
          <t>Prior EWY P001 executed 2026-04-15, HIT_STOP 2026-04-16 (+0.92% realized; stop-too-tight lesson in memory-lessons.md).</t>
        </is>
      </c>
    </row>
    <row r="32">
      <c r="A32" t="inlineStr">
        <is>
          <t>N026</t>
        </is>
      </c>
      <c r="B32" t="inlineStr">
        <is>
          <t>Near-Miss</t>
        </is>
      </c>
      <c r="C32" s="27" t="n">
        <v>46129</v>
      </c>
      <c r="D32" t="inlineStr">
        <is>
          <t>TSM</t>
        </is>
      </c>
      <c r="E32" t="inlineStr">
        <is>
          <t>Equity-single</t>
        </is>
      </c>
      <c r="F32" t="inlineStr">
        <is>
          <t>Long</t>
        </is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368.92</v>
      </c>
      <c r="R32" t="n">
        <v>17.92</v>
      </c>
      <c r="S32" t="inlineStr">
        <is>
          <t>Broad risk-on — equity fresh highs, oil correction on Iran deal progress, vol compression deepening</t>
        </is>
      </c>
      <c r="T32" t="inlineStr">
        <is>
          <t>T</t>
        </is>
      </c>
      <c r="U32" t="inlineStr">
        <is>
          <t>Residual momentum +1.00% → T=0 (near-zero; all raw TSMOM +78.52% factor-driven). Post-earnings sell-the-news damage -4.4% cumulative.</t>
        </is>
      </c>
      <c r="V32" t="inlineStr">
        <is>
          <t>No</t>
        </is>
      </c>
      <c r="W32" t="inlineStr">
        <is>
          <t>OPEN</t>
        </is>
      </c>
      <c r="AE32" t="inlineStr">
        <is>
          <t>trade-rec-2026-04-17.md v1</t>
        </is>
      </c>
      <c r="AF32" t="inlineStr">
        <is>
          <t>Audit-addition (residual-mom) confirms flat idiosyncratic alpha.</t>
        </is>
      </c>
    </row>
    <row r="33">
      <c r="A33" t="inlineStr">
        <is>
          <t>N027</t>
        </is>
      </c>
      <c r="B33" t="inlineStr">
        <is>
          <t>Near-Miss</t>
        </is>
      </c>
      <c r="C33" s="27" t="n">
        <v>46129</v>
      </c>
      <c r="D33" t="inlineStr">
        <is>
          <t>NVDA</t>
        </is>
      </c>
      <c r="E33" t="inlineStr">
        <is>
          <t>Equity-single</t>
        </is>
      </c>
      <c r="F33" t="inlineStr">
        <is>
          <t>Long</t>
        </is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200.83</v>
      </c>
      <c r="R33" t="n">
        <v>17.92</v>
      </c>
      <c r="S33" t="inlineStr">
        <is>
          <t>Broad risk-on — equity fresh highs, oil correction on Iran deal progress, vol compression deepening</t>
        </is>
      </c>
      <c r="T33" t="inlineStr">
        <is>
          <t>T</t>
        </is>
      </c>
      <c r="U33" t="inlineStr">
        <is>
          <t>Residual -1.00% → T=0 (was +2 C-block Apr-16 N022; now downgraded by residual).</t>
        </is>
      </c>
      <c r="V33" t="inlineStr">
        <is>
          <t>No</t>
        </is>
      </c>
      <c r="W33" t="inlineStr">
        <is>
          <t>OPEN</t>
        </is>
      </c>
      <c r="AE33" t="inlineStr">
        <is>
          <t>trade-rec-2026-04-17.md v1</t>
        </is>
      </c>
      <c r="AF33" t="inlineStr">
        <is>
          <t>Audit-addition (residual-mom) decision-moving downgrade.</t>
        </is>
      </c>
    </row>
    <row r="34">
      <c r="A34" t="inlineStr">
        <is>
          <t>N028</t>
        </is>
      </c>
      <c r="B34" t="inlineStr">
        <is>
          <t>Near-Miss</t>
        </is>
      </c>
      <c r="C34" s="27" t="n">
        <v>46129</v>
      </c>
      <c r="D34" t="inlineStr">
        <is>
          <t>AAPL</t>
        </is>
      </c>
      <c r="E34" t="inlineStr">
        <is>
          <t>Equity-single</t>
        </is>
      </c>
      <c r="F34" t="inlineStr">
        <is>
          <t>Long</t>
        </is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271.52</v>
      </c>
      <c r="R34" t="n">
        <v>17.92</v>
      </c>
      <c r="S34" t="inlineStr">
        <is>
          <t>Broad risk-on — equity fresh highs, oil correction on Iran deal progress, vol compression deepening</t>
        </is>
      </c>
      <c r="T34" t="inlineStr">
        <is>
          <t>S_and_C</t>
        </is>
      </c>
      <c r="U34" t="inlineStr">
        <is>
          <t>Residual +4.68% → T=+1 (strong today +3.08%). No S+1 quality case; no near-term catalyst.</t>
        </is>
      </c>
      <c r="V34" t="inlineStr">
        <is>
          <t>No</t>
        </is>
      </c>
      <c r="W34" t="inlineStr">
        <is>
          <t>OPEN</t>
        </is>
      </c>
      <c r="AE34" t="inlineStr">
        <is>
          <t>trade-rec-2026-04-17.md v1</t>
        </is>
      </c>
      <c r="AF34" t="inlineStr"/>
    </row>
    <row r="35">
      <c r="A35" t="inlineStr">
        <is>
          <t>N029</t>
        </is>
      </c>
      <c r="B35" t="inlineStr">
        <is>
          <t>Near-Miss</t>
        </is>
      </c>
      <c r="C35" s="27" t="n">
        <v>46129</v>
      </c>
      <c r="D35" t="inlineStr">
        <is>
          <t>AMZN</t>
        </is>
      </c>
      <c r="E35" t="inlineStr">
        <is>
          <t>Equity-single</t>
        </is>
      </c>
      <c r="F35" t="inlineStr">
        <is>
          <t>Long</t>
        </is>
      </c>
      <c r="G35" t="n">
        <v>1</v>
      </c>
      <c r="H35" t="n">
        <v>0</v>
      </c>
      <c r="I35" t="n">
        <v>1</v>
      </c>
      <c r="J35" t="n">
        <v>0</v>
      </c>
      <c r="K35" t="n">
        <v>2</v>
      </c>
      <c r="L35" t="n">
        <v>254.41</v>
      </c>
      <c r="R35" t="n">
        <v>17.92</v>
      </c>
      <c r="S35" t="inlineStr">
        <is>
          <t>Broad risk-on — equity fresh highs, oil correction on Iran deal progress, vol compression deepening</t>
        </is>
      </c>
      <c r="T35" t="inlineStr">
        <is>
          <t>T</t>
        </is>
      </c>
      <c r="U35" t="inlineStr">
        <is>
          <t>Residual +1.39% → T=0 (near-zero). Earnings Apr-23 critical binary (same day INTC).</t>
        </is>
      </c>
      <c r="V35" t="inlineStr">
        <is>
          <t>No</t>
        </is>
      </c>
      <c r="W35" t="inlineStr">
        <is>
          <t>OPEN</t>
        </is>
      </c>
      <c r="AE35" t="inlineStr">
        <is>
          <t>trade-rec-2026-04-17.md v1</t>
        </is>
      </c>
      <c r="AF35" t="inlineStr">
        <is>
          <t>Audit-addition (residual-mom) blocks promotion; residual flat despite earnings cluster C+1.</t>
        </is>
      </c>
    </row>
    <row r="36">
      <c r="A36" t="inlineStr">
        <is>
          <t>N030</t>
        </is>
      </c>
      <c r="B36" t="inlineStr">
        <is>
          <t>Near-Miss</t>
        </is>
      </c>
      <c r="C36" s="27" t="n">
        <v>46129</v>
      </c>
      <c r="D36" t="inlineStr">
        <is>
          <t>META</t>
        </is>
      </c>
      <c r="E36" t="inlineStr">
        <is>
          <t>Equity-single</t>
        </is>
      </c>
      <c r="F36" t="inlineStr">
        <is>
          <t>Long</t>
        </is>
      </c>
      <c r="G36" t="n">
        <v>1</v>
      </c>
      <c r="H36" t="n">
        <v>0</v>
      </c>
      <c r="I36" t="n">
        <v>1</v>
      </c>
      <c r="J36" t="n">
        <v>0</v>
      </c>
      <c r="K36" t="n">
        <v>2</v>
      </c>
      <c r="L36" t="n">
        <v>685.17</v>
      </c>
      <c r="R36" t="n">
        <v>17.92</v>
      </c>
      <c r="S36" t="inlineStr">
        <is>
          <t>Broad risk-on — equity fresh highs, oil correction on Iran deal progress, vol compression deepening</t>
        </is>
      </c>
      <c r="T36" t="inlineStr">
        <is>
          <t>T</t>
        </is>
      </c>
      <c r="U36" t="inlineStr">
        <is>
          <t>Residual +0.75% → T=0. Earnings Apr-29 same-day FOMC critical binary.</t>
        </is>
      </c>
      <c r="V36" t="inlineStr">
        <is>
          <t>No</t>
        </is>
      </c>
      <c r="W36" t="inlineStr">
        <is>
          <t>OPEN</t>
        </is>
      </c>
      <c r="AE36" t="inlineStr">
        <is>
          <t>trade-rec-2026-04-17.md v1</t>
        </is>
      </c>
      <c r="AF36" t="inlineStr">
        <is>
          <t>Audit-addition (residual-mom) blocks promotion.</t>
        </is>
      </c>
    </row>
    <row r="37">
      <c r="A37" t="inlineStr">
        <is>
          <t>N031</t>
        </is>
      </c>
      <c r="B37" t="inlineStr">
        <is>
          <t>Near-Miss</t>
        </is>
      </c>
      <c r="C37" s="27" t="n">
        <v>46129</v>
      </c>
      <c r="D37" t="inlineStr">
        <is>
          <t>WTI</t>
        </is>
      </c>
      <c r="E37" t="inlineStr">
        <is>
          <t>Commodity</t>
        </is>
      </c>
      <c r="F37" t="inlineStr">
        <is>
          <t>Long</t>
        </is>
      </c>
      <c r="G37" t="n">
        <v>1</v>
      </c>
      <c r="H37" t="n">
        <v>0</v>
      </c>
      <c r="I37" t="n">
        <v>-1</v>
      </c>
      <c r="J37" t="n">
        <v>1</v>
      </c>
      <c r="K37" t="n">
        <v>1</v>
      </c>
      <c r="L37" t="n">
        <v>79.45999999999999</v>
      </c>
      <c r="R37" t="n">
        <v>17.92</v>
      </c>
      <c r="S37" t="inlineStr">
        <is>
          <t>Broad risk-on — equity fresh highs, oil correction on Iran deal progress, vol compression deepening</t>
        </is>
      </c>
      <c r="T37" t="inlineStr">
        <is>
          <t>T_and_C</t>
        </is>
      </c>
      <c r="U37" t="inlineStr">
        <is>
          <t>T=0 (trend weaker than Brent; 1m flattening). C=-1 (Iran Apr-21 binary bearish for oil). S+1 clean (basis-mom aligned-steepening, no divergence cap).</t>
        </is>
      </c>
      <c r="V37" t="inlineStr">
        <is>
          <t>No</t>
        </is>
      </c>
      <c r="W37" t="inlineStr">
        <is>
          <t>OPEN</t>
        </is>
      </c>
      <c r="AE37" t="inlineStr">
        <is>
          <t>trade-rec-2026-04-17.md v1</t>
        </is>
      </c>
      <c r="AF37" t="inlineStr">
        <is>
          <t>Oil crash -9.27% intraday; partial contract-roll artifact possible.</t>
        </is>
      </c>
    </row>
    <row r="38">
      <c r="A38" t="inlineStr">
        <is>
          <t>N032</t>
        </is>
      </c>
      <c r="B38" t="inlineStr">
        <is>
          <t>Near-Miss</t>
        </is>
      </c>
      <c r="C38" s="27" t="n">
        <v>46129</v>
      </c>
      <c r="D38" t="inlineStr">
        <is>
          <t>BTC</t>
        </is>
      </c>
      <c r="E38" t="inlineStr">
        <is>
          <t>Crypto</t>
        </is>
      </c>
      <c r="F38" t="inlineStr">
        <is>
          <t>Long</t>
        </is>
      </c>
      <c r="G38" t="n">
        <v>0</v>
      </c>
      <c r="H38" t="n">
        <v>1</v>
      </c>
      <c r="I38" t="n">
        <v>1</v>
      </c>
      <c r="J38" t="n">
        <v>0</v>
      </c>
      <c r="K38" t="n">
        <v>2</v>
      </c>
      <c r="L38" t="n">
        <v>77775</v>
      </c>
      <c r="R38" t="n">
        <v>17.92</v>
      </c>
      <c r="S38" t="inlineStr">
        <is>
          <t>Broad risk-on — equity fresh highs, oil correction on Iran deal progress, vol compression deepening</t>
        </is>
      </c>
      <c r="T38" t="inlineStr">
        <is>
          <t>S</t>
        </is>
      </c>
      <c r="U38" t="inlineStr">
        <is>
          <t>Active-addresses STALE-WARN at 470k (3d stale); S upgraded 0 from -1 on price &gt;$75k + ETF 3-day positive run through Apr-15.</t>
        </is>
      </c>
      <c r="V38" t="inlineStr">
        <is>
          <t>No</t>
        </is>
      </c>
      <c r="W38" t="inlineStr">
        <is>
          <t>OPEN</t>
        </is>
      </c>
      <c r="AE38" t="inlineStr">
        <is>
          <t>trade-rec-2026-04-17.md v1</t>
        </is>
      </c>
      <c r="AF38" t="inlineStr">
        <is>
          <t>Funding negative 46+d = crowded-short squeeze setup (crowding filter, not trigger). FOMC Apr-28 = C+1.</t>
        </is>
      </c>
    </row>
    <row r="39">
      <c r="A39" t="inlineStr">
        <is>
          <t>N033</t>
        </is>
      </c>
      <c r="B39" t="inlineStr">
        <is>
          <t>Near-Miss</t>
        </is>
      </c>
      <c r="C39" s="27" t="n">
        <v>46129</v>
      </c>
      <c r="D39" t="inlineStr">
        <is>
          <t>PYPL</t>
        </is>
      </c>
      <c r="E39" t="inlineStr">
        <is>
          <t>Equity-single</t>
        </is>
      </c>
      <c r="F39" t="inlineStr">
        <is>
          <t>Short</t>
        </is>
      </c>
      <c r="G39" t="n">
        <v>-1</v>
      </c>
      <c r="H39" t="n">
        <v>-1</v>
      </c>
      <c r="I39" t="n">
        <v>0</v>
      </c>
      <c r="J39" t="n">
        <v>0</v>
      </c>
      <c r="K39" t="n">
        <v>-2</v>
      </c>
      <c r="L39" t="n">
        <v>50.96</v>
      </c>
      <c r="R39" t="n">
        <v>17.92</v>
      </c>
      <c r="S39" t="inlineStr">
        <is>
          <t>Broad risk-on — equity fresh highs, oil correction on Iran deal progress, vol compression deepening</t>
        </is>
      </c>
      <c r="T39" t="inlineStr">
        <is>
          <t>R_and_C</t>
        </is>
      </c>
      <c r="U39" t="inlineStr">
        <is>
          <t>Residual -5.25% (aligns with raw -34.40%). Weakest single-stock. Short direction consistent. R=0 (intermediary z+0.18, no stress).</t>
        </is>
      </c>
      <c r="V39" t="inlineStr">
        <is>
          <t>No</t>
        </is>
      </c>
      <c r="W39" t="inlineStr">
        <is>
          <t>OPEN</t>
        </is>
      </c>
      <c r="AE39" t="inlineStr">
        <is>
          <t>trade-rec-2026-04-17.md v1</t>
        </is>
      </c>
      <c r="AF39" t="inlineStr">
        <is>
          <t>Short-side near-miss logged for evidence trail. Promotion would need C=-1 catalyst or R=-1.</t>
        </is>
      </c>
    </row>
  </sheetData>
  <autoFilter ref="A1:AF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40" customWidth="1" style="13" min="2" max="2"/>
    <col width="14" customWidth="1" style="13" min="3" max="4"/>
    <col width="20" customWidth="1" style="13" min="5" max="5"/>
    <col width="14" customWidth="1" style="13" min="6" max="8"/>
    <col width="20" customWidth="1" style="13" min="9" max="10"/>
    <col width="25" customWidth="1" style="13" min="11" max="13"/>
    <col width="20" customWidth="1" style="13" min="14" max="14"/>
    <col width="12" customWidth="1" style="13" min="15" max="15"/>
    <col width="30" customWidth="1" style="13" min="16" max="16"/>
  </cols>
  <sheetData>
    <row r="1" ht="23.85" customHeight="1" s="14">
      <c r="A1" s="15" t="inlineStr">
        <is>
          <t>Date</t>
        </is>
      </c>
      <c r="B1" s="15" t="inlineStr">
        <is>
          <t>Regime_Label</t>
        </is>
      </c>
      <c r="C1" s="15" t="inlineStr">
        <is>
          <t>Growth</t>
        </is>
      </c>
      <c r="D1" s="15" t="inlineStr">
        <is>
          <t>Inflation</t>
        </is>
      </c>
      <c r="E1" s="15" t="inlineStr">
        <is>
          <t>Policy</t>
        </is>
      </c>
      <c r="F1" s="15" t="inlineStr">
        <is>
          <t>FinConditions</t>
        </is>
      </c>
      <c r="G1" s="15" t="inlineStr">
        <is>
          <t>RiskOnOff</t>
        </is>
      </c>
      <c r="H1" s="15" t="inlineStr">
        <is>
          <t>BTC_VolRegime</t>
        </is>
      </c>
      <c r="I1" s="15" t="inlineStr">
        <is>
          <t>BTC_FundingBasis</t>
        </is>
      </c>
      <c r="J1" s="15" t="inlineStr">
        <is>
          <t>BTC_Structural</t>
        </is>
      </c>
      <c r="K1" s="15" t="inlineStr">
        <is>
          <t>Watch_Var_1</t>
        </is>
      </c>
      <c r="L1" s="15" t="inlineStr">
        <is>
          <t>Watch_Var_2</t>
        </is>
      </c>
      <c r="M1" s="15" t="inlineStr">
        <is>
          <t>Watch_Var_3</t>
        </is>
      </c>
      <c r="N1" s="15" t="inlineStr">
        <is>
          <t>Promoted_Signals</t>
        </is>
      </c>
      <c r="O1" s="15" t="inlineStr">
        <is>
          <t>NearMiss_Count</t>
        </is>
      </c>
      <c r="P1" s="15" t="inlineStr">
        <is>
          <t>Source_Brief</t>
        </is>
      </c>
    </row>
    <row r="2" ht="15" customHeight="1" s="14">
      <c r="A2" s="16" t="n">
        <v>46126</v>
      </c>
      <c r="B2" s="17" t="inlineStr">
        <is>
          <t>Energy-led reflation shock + hawkish repricing, softening at margin</t>
        </is>
      </c>
      <c r="C2" s="17" t="inlineStr">
        <is>
          <t>ambiguous</t>
        </is>
      </c>
      <c r="D2" s="17" t="inlineStr">
        <is>
          <t>reflationary</t>
        </is>
      </c>
      <c r="E2" s="17" t="inlineStr">
        <is>
          <t>on hold 3.50-3.75%</t>
        </is>
      </c>
      <c r="F2" s="17" t="inlineStr">
        <is>
          <t>easing (NFCI -0.43)</t>
        </is>
      </c>
      <c r="G2" s="17" t="inlineStr">
        <is>
          <t>cautious risk-on</t>
        </is>
      </c>
      <c r="H2" s="17" t="inlineStr">
        <is>
          <t>elevated spot volatility</t>
        </is>
      </c>
      <c r="I2" s="17" t="inlineStr">
        <is>
          <t>funding negative Binance</t>
        </is>
      </c>
      <c r="J2" s="17" t="inlineStr">
        <is>
          <t>active addr collapse 364k S=-1</t>
        </is>
      </c>
      <c r="K2" s="17" t="inlineStr">
        <is>
          <t>Brent M1-M3 curve</t>
        </is>
      </c>
      <c r="L2" s="17" t="inlineStr">
        <is>
          <t>DXY breakdown sub-98</t>
        </is>
      </c>
      <c r="M2" s="17" t="inlineStr">
        <is>
          <t>TSM earnings Apr-16</t>
        </is>
      </c>
      <c r="N2" s="17" t="inlineStr">
        <is>
          <t>N001 (EWY)</t>
        </is>
      </c>
      <c r="O2" s="17" t="n">
        <v>8</v>
      </c>
      <c r="P2" s="17" t="inlineStr">
        <is>
          <t>market-brief-2026-04-14.md</t>
        </is>
      </c>
    </row>
    <row r="3" ht="15" customHeight="1" s="14">
      <c r="A3" s="16" t="n">
        <v>46127</v>
      </c>
      <c r="B3" s="17" t="inlineStr">
        <is>
          <t>Post-shock reflation unwind → cautious risk-on</t>
        </is>
      </c>
      <c r="C3" s="17" t="inlineStr">
        <is>
          <t>ambiguous, deteriorating at margin</t>
        </is>
      </c>
      <c r="D3" s="17" t="inlineStr">
        <is>
          <t>reflationary (CPI +3.3%)</t>
        </is>
      </c>
      <c r="E3" s="17" t="inlineStr">
        <is>
          <t>on hold 3.50-3.75%; FOMC Apr 28-29</t>
        </is>
      </c>
      <c r="F3" s="17" t="inlineStr">
        <is>
          <t>easing (NFCI -0.43; VIX 18.36)</t>
        </is>
      </c>
      <c r="G3" s="17" t="inlineStr">
        <is>
          <t>cautious risk-on</t>
        </is>
      </c>
      <c r="H3" s="17" t="inlineStr">
        <is>
          <t>spot pullback $74.3k</t>
        </is>
      </c>
      <c r="I3" s="17" t="inlineStr">
        <is>
          <t>ETF flows FLIPPED +$411.5M</t>
        </is>
      </c>
      <c r="J3" s="17" t="inlineStr">
        <is>
          <t>active addr 364k (stale) S=-1</t>
        </is>
      </c>
      <c r="K3" s="17" t="inlineStr">
        <is>
          <t>Brent M1-M3 curve (EIA)</t>
        </is>
      </c>
      <c r="L3" s="17" t="inlineStr">
        <is>
          <t>DXY breakdown (sub-98)</t>
        </is>
      </c>
      <c r="M3" s="17" t="inlineStr">
        <is>
          <t>TSM earnings Apr-16</t>
        </is>
      </c>
      <c r="N3" s="17" t="inlineStr">
        <is>
          <t>P001 (EWY), P003 (INTC)</t>
        </is>
      </c>
      <c r="O3" s="17" t="n">
        <v>5</v>
      </c>
      <c r="P3" s="17" t="inlineStr">
        <is>
          <t>market-brief-2026-04-15.md v1 + trade-rec v3</t>
        </is>
      </c>
    </row>
    <row r="4">
      <c r="A4" s="26" t="n">
        <v>46128</v>
      </c>
      <c r="B4" s="13" t="inlineStr">
        <is>
          <t>Broad risk-on — equity records, vol compression, DXY sub-99. Iran binary Apr-21.</t>
        </is>
      </c>
      <c r="C4" s="13" t="inlineStr">
        <is>
          <t>ambiguous, improving at margin (TSM beat, SPX record)</t>
        </is>
      </c>
      <c r="D4" s="13" t="inlineStr">
        <is>
          <t>reflationary (CPI +3.3%, breakevens 2.36%)</t>
        </is>
      </c>
      <c r="E4" s="13" t="inlineStr">
        <is>
          <t>on hold 3.50-3.75%; FOMC Apr 28-29</t>
        </is>
      </c>
      <c r="F4" s="13" t="inlineStr">
        <is>
          <t>easing (NFCI -0.47; VIX 18.19; MOVE 67.94)</t>
        </is>
      </c>
      <c r="G4" s="13" t="inlineStr">
        <is>
          <t>risk-on strengthening — equity records, vol compressing</t>
        </is>
      </c>
      <c r="H4" s="13" t="inlineStr">
        <is>
          <t>spot $74.9k, moderate vol</t>
        </is>
      </c>
      <c r="I4" s="13" t="inlineStr">
        <is>
          <t>negative funding 46d (crowded shorts); ETF +$411.5M</t>
        </is>
      </c>
      <c r="J4" s="13" t="inlineStr">
        <is>
          <t>active addr 470k recovered (+29% from 364k); hash rate 863 EH/s (-16.4%); S improved -1 to 0</t>
        </is>
      </c>
      <c r="K4" s="13" t="inlineStr">
        <is>
          <t>Iran ceasefire expiry Apr-21 (binary)</t>
        </is>
      </c>
      <c r="L4" s="13" t="inlineStr">
        <is>
          <t>BTC active address recovery sustainability (470k)</t>
        </is>
      </c>
      <c r="M4" s="13" t="inlineStr">
        <is>
          <t>Big tech earnings week (TSLA/GOOGL Apr-22, INTC/AMZN Apr-23)</t>
        </is>
      </c>
      <c r="N4" s="13" t="inlineStr">
        <is>
          <t>SPY(+3), QQQ(+4), Gold(+3), EWY(+3 open)</t>
        </is>
      </c>
      <c r="O4" s="13" t="n">
        <v>4</v>
      </c>
      <c r="P4" s="13" t="inlineStr">
        <is>
          <t>market-brief-2026-04-16.md v1</t>
        </is>
      </c>
    </row>
    <row r="5">
      <c r="A5" s="26" t="n">
        <v>46129</v>
      </c>
      <c r="B5" s="13" t="inlineStr">
        <is>
          <t>Broad risk-on — equity fresh highs, oil correction on Iran deal progress, vol compression deepening</t>
        </is>
      </c>
      <c r="C5" s="13" t="inlineStr">
        <is>
          <t>Ambiguous, improving at margin</t>
        </is>
      </c>
      <c r="D5" s="13" t="inlineStr">
        <is>
          <t>Reflationary (oil crash is disinflationary impulse)</t>
        </is>
      </c>
      <c r="E5" s="13" t="inlineStr">
        <is>
          <t>On hold 3.50-3.75%</t>
        </is>
      </c>
      <c r="F5" s="13" t="inlineStr">
        <is>
          <t>Easing further</t>
        </is>
      </c>
      <c r="G5" s="13" t="inlineStr">
        <is>
          <t>Risk-on strengthening</t>
        </is>
      </c>
      <c r="H5" s="13" t="inlineStr">
        <is>
          <t>Moderate vol</t>
        </is>
      </c>
      <c r="I5" s="13" t="inlineStr">
        <is>
          <t>Negative funding 46+ days</t>
        </is>
      </c>
      <c r="J5" s="13" t="inlineStr">
        <is>
          <t>Active addr 470k STALE-WARN; hash rate 1050 EH/s</t>
        </is>
      </c>
      <c r="K5" s="13" t="inlineStr">
        <is>
          <t>Oil crash (Brent -9.7% intraday, Iran deal progress)</t>
        </is>
      </c>
      <c r="L5" s="13" t="inlineStr">
        <is>
          <t>Big tech earnings cluster Apr-22/23/29</t>
        </is>
      </c>
      <c r="M5" s="13" t="inlineStr">
        <is>
          <t>VIX/VIX3M 0.870 contango deepening</t>
        </is>
      </c>
      <c r="N5" s="13" t="inlineStr">
        <is>
          <t>SPY(+3), QQQ(+4,open), Gold(+3,open), INTC(+3,open,confirmed)</t>
        </is>
      </c>
      <c r="O5" s="13" t="n">
        <v>10</v>
      </c>
      <c r="P5" s="13" t="inlineStr">
        <is>
          <t>market-brief-2026-04-17 v3</t>
        </is>
      </c>
    </row>
  </sheetData>
  <autoFilter ref="A1:P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J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13" min="1" max="1"/>
    <col width="25" customWidth="1" style="13" min="2" max="2"/>
    <col width="40" customWidth="1" style="13" min="3" max="3"/>
    <col width="14" customWidth="1" style="13" min="4" max="5"/>
    <col width="10" customWidth="1" style="13" min="6" max="6"/>
    <col width="14" customWidth="1" style="13" min="7" max="9"/>
    <col width="18" customWidth="1" style="13" min="10" max="10"/>
    <col width="12" customWidth="1" style="13" min="11" max="11"/>
    <col width="20" customWidth="1" style="13" min="12" max="12"/>
    <col width="30" customWidth="1" style="13" min="13" max="13"/>
    <col width="40" customWidth="1" style="13" min="14" max="14"/>
    <col width="12" customWidth="1" style="13" min="15" max="16"/>
    <col width="14" customWidth="1" style="13" min="17" max="18"/>
    <col width="16" customWidth="1" style="13" min="19" max="19"/>
    <col width="12" customWidth="1" style="13" min="20" max="22"/>
    <col width="14" customWidth="1" style="13" min="23" max="23"/>
    <col width="30" customWidth="1" style="13" min="24" max="24"/>
    <col width="20" customWidth="1" style="13" min="25" max="25"/>
    <col width="12" customWidth="1" style="13" min="26" max="26"/>
    <col width="8" customWidth="1" style="13" min="27" max="27"/>
    <col width="30" customWidth="1" style="13" min="28" max="28"/>
    <col width="12" customWidth="1" style="13" min="29" max="30"/>
    <col width="30" customWidth="1" style="13" min="31" max="31"/>
    <col width="12" customWidth="1" style="13" min="32" max="33"/>
    <col width="14" customWidth="1" style="13" min="34" max="34"/>
    <col width="30" customWidth="1" style="13" min="35" max="35"/>
    <col width="40" customWidth="1" style="13" min="36" max="36"/>
  </cols>
  <sheetData>
    <row r="1" ht="35.05" customHeight="1" s="14">
      <c r="A1" s="15" t="inlineStr">
        <is>
          <t>Var_ID</t>
        </is>
      </c>
      <c r="B1" s="15" t="inlineStr">
        <is>
          <t>Name</t>
        </is>
      </c>
      <c r="C1" s="15" t="inlineStr">
        <is>
          <t>Definition</t>
        </is>
      </c>
      <c r="D1" s="15" t="inlineStr">
        <is>
          <t>Asset_Class</t>
        </is>
      </c>
      <c r="E1" s="15" t="inlineStr">
        <is>
          <t>Category</t>
        </is>
      </c>
      <c r="F1" s="15" t="inlineStr">
        <is>
          <t>Horizon</t>
        </is>
      </c>
      <c r="G1" s="15" t="inlineStr">
        <is>
          <t>Use_Type</t>
        </is>
      </c>
      <c r="H1" s="15" t="inlineStr">
        <is>
          <t>Score_Component</t>
        </is>
      </c>
      <c r="I1" s="15" t="inlineStr">
        <is>
          <t>Evidence_Strength</t>
        </is>
      </c>
      <c r="J1" s="15" t="inlineStr">
        <is>
          <t>Status</t>
        </is>
      </c>
      <c r="K1" s="15" t="inlineStr">
        <is>
          <t>Discovery_Date</t>
        </is>
      </c>
      <c r="L1" s="15" t="inlineStr">
        <is>
          <t>Discovery_Source</t>
        </is>
      </c>
      <c r="M1" s="15" t="inlineStr">
        <is>
          <t>Source_Paper</t>
        </is>
      </c>
      <c r="N1" s="15" t="inlineStr">
        <is>
          <t>Intuition</t>
        </is>
      </c>
      <c r="O1" s="15" t="inlineStr">
        <is>
          <t>Peer_Reviewed</t>
        </is>
      </c>
      <c r="P1" s="15" t="inlineStr">
        <is>
          <t>Replicated</t>
        </is>
      </c>
      <c r="Q1" s="15" t="inlineStr">
        <is>
          <t>Mechanism_Grounded</t>
        </is>
      </c>
      <c r="R1" s="15" t="inlineStr">
        <is>
          <t>Independent_Info</t>
        </is>
      </c>
      <c r="S1" s="15" t="inlineStr">
        <is>
          <t>Realtime_Implementable</t>
        </is>
      </c>
      <c r="T1" s="15" t="inlineStr">
        <is>
          <t>Published_Sharpe</t>
        </is>
      </c>
      <c r="U1" s="15" t="inlineStr">
        <is>
          <t>Decay_Haircut_Pct</t>
        </is>
      </c>
      <c r="V1" s="15" t="inlineStr">
        <is>
          <t>Proj_Op_Sharpe</t>
        </is>
      </c>
      <c r="W1" s="15" t="inlineStr">
        <is>
          <t>Correlation_w_Existing</t>
        </is>
      </c>
      <c r="X1" s="15" t="inlineStr">
        <is>
          <t>Redundancy_Notes</t>
        </is>
      </c>
      <c r="Y1" s="15" t="inlineStr">
        <is>
          <t>Data_Source</t>
        </is>
      </c>
      <c r="Z1" s="15" t="inlineStr">
        <is>
          <t>Pull_Frequency</t>
        </is>
      </c>
      <c r="AA1" s="15" t="inlineStr">
        <is>
          <t>Lag</t>
        </is>
      </c>
      <c r="AB1" s="15" t="inlineStr">
        <is>
          <t>Double_Count_Gate</t>
        </is>
      </c>
      <c r="AC1" s="15" t="inlineStr">
        <is>
          <t>Last_Review_Date</t>
        </is>
      </c>
      <c r="AD1" s="15" t="inlineStr">
        <is>
          <t>Next_Review_Date</t>
        </is>
      </c>
      <c r="AE1" s="15" t="inlineStr">
        <is>
          <t>Review_History</t>
        </is>
      </c>
      <c r="AF1" s="15" t="inlineStr">
        <is>
          <t>Promotion_Date</t>
        </is>
      </c>
      <c r="AG1" s="15" t="inlineStr">
        <is>
          <t>Demotion_Date</t>
        </is>
      </c>
      <c r="AH1" s="15" t="inlineStr">
        <is>
          <t>Decision_Moving_Count</t>
        </is>
      </c>
      <c r="AI1" s="15" t="inlineStr">
        <is>
          <t>OOS_Contribution</t>
        </is>
      </c>
      <c r="AJ1" s="15" t="inlineStr">
        <is>
          <t>Notes</t>
        </is>
      </c>
    </row>
    <row r="2" ht="15" customHeight="1" s="14">
      <c r="A2" s="17" t="inlineStr">
        <is>
          <t>V001</t>
        </is>
      </c>
      <c r="B2" s="17" t="inlineStr">
        <is>
          <t>VIX</t>
        </is>
      </c>
      <c r="C2" s="17" t="inlineStr">
        <is>
          <t>CBOE Volatility Index; implied vol on SPX options</t>
        </is>
      </c>
      <c r="D2" s="17" t="inlineStr">
        <is>
          <t>Cross-Asset</t>
        </is>
      </c>
      <c r="E2" s="17" t="inlineStr">
        <is>
          <t>Volatility</t>
        </is>
      </c>
      <c r="F2" s="17" t="inlineStr">
        <is>
          <t>1-4 weeks</t>
        </is>
      </c>
      <c r="G2" s="17" t="inlineStr">
        <is>
          <t>Risk Management</t>
        </is>
      </c>
      <c r="H2" s="17" t="inlineStr">
        <is>
          <t>R</t>
        </is>
      </c>
      <c r="I2" s="17" t="inlineStr">
        <is>
          <t>Grade A</t>
        </is>
      </c>
      <c r="J2" s="17" t="inlineStr">
        <is>
          <t>Grade A</t>
        </is>
      </c>
      <c r="L2" s="17" t="inlineStr">
        <is>
          <t>Foundational</t>
        </is>
      </c>
      <c r="M2" s="17" t="inlineStr">
        <is>
          <t>Whaley (2000) JD; extensive literature</t>
        </is>
      </c>
      <c r="N2" s="17" t="inlineStr">
        <is>
          <t>Fear gauge; high VIX = elevated risk premia, mean-reversion tendency</t>
        </is>
      </c>
      <c r="O2" s="17" t="inlineStr">
        <is>
          <t>PASS</t>
        </is>
      </c>
      <c r="P2" s="17" t="inlineStr">
        <is>
          <t>PASS</t>
        </is>
      </c>
      <c r="Q2" s="17" t="inlineStr">
        <is>
          <t>PASS</t>
        </is>
      </c>
      <c r="R2" s="17" t="inlineStr">
        <is>
          <t>PASS</t>
        </is>
      </c>
      <c r="S2" s="17" t="inlineStr">
        <is>
          <t>PASS</t>
        </is>
      </c>
      <c r="W2" s="17" t="inlineStr">
        <is>
          <t>Low (&lt;0.3) with HY OAS in normal regimes; high (&gt;0.7) in stress</t>
        </is>
      </c>
      <c r="Y2" s="17" t="inlineStr">
        <is>
          <t>CBOE / Yahoo ^VIX</t>
        </is>
      </c>
      <c r="Z2" s="17" t="inlineStr">
        <is>
          <t>Daily</t>
        </is>
      </c>
      <c r="AA2" s="17" t="inlineStr">
        <is>
          <t>0d</t>
        </is>
      </c>
      <c r="AC2" s="16" t="n">
        <v>46127</v>
      </c>
      <c r="AD2" s="16" t="n">
        <v>46204</v>
      </c>
      <c r="AE2" s="17" t="inlineStr">
        <is>
          <t>Inaugural quarterly review 2026-04-15: RETAIN</t>
        </is>
      </c>
      <c r="AI2" s="17" t="inlineStr">
        <is>
          <t>Not yet assessed (0 closed signals)</t>
        </is>
      </c>
      <c r="AJ2" s="17" t="inlineStr">
        <is>
          <t>Core R-overlay input. VIX-at-entry conditioning added 2026-04-15.</t>
        </is>
      </c>
    </row>
    <row r="3" ht="15" customHeight="1" s="14">
      <c r="A3" s="17" t="inlineStr">
        <is>
          <t>V002</t>
        </is>
      </c>
      <c r="B3" s="17" t="inlineStr">
        <is>
          <t>MOVE Index</t>
        </is>
      </c>
      <c r="C3" s="17" t="inlineStr">
        <is>
          <t>Merrill Lynch Option Volatility Estimate; Treasury implied vol</t>
        </is>
      </c>
      <c r="D3" s="17" t="inlineStr">
        <is>
          <t>Cross-Asset</t>
        </is>
      </c>
      <c r="E3" s="17" t="inlineStr">
        <is>
          <t>Volatility</t>
        </is>
      </c>
      <c r="F3" s="17" t="inlineStr">
        <is>
          <t>1-4 weeks</t>
        </is>
      </c>
      <c r="G3" s="17" t="inlineStr">
        <is>
          <t>Risk Management</t>
        </is>
      </c>
      <c r="H3" s="17" t="inlineStr">
        <is>
          <t>R</t>
        </is>
      </c>
      <c r="I3" s="17" t="inlineStr">
        <is>
          <t>Grade A</t>
        </is>
      </c>
      <c r="J3" s="17" t="inlineStr">
        <is>
          <t>Grade A</t>
        </is>
      </c>
      <c r="L3" s="17" t="inlineStr">
        <is>
          <t>Foundational</t>
        </is>
      </c>
      <c r="M3" s="17" t="inlineStr">
        <is>
          <t>Siriwardane (2019) JF</t>
        </is>
      </c>
      <c r="N3" s="17" t="inlineStr">
        <is>
          <t>Bond market stress indicator; leads equity vol by 1-2 weeks in crises</t>
        </is>
      </c>
      <c r="O3" s="17" t="inlineStr">
        <is>
          <t>PASS</t>
        </is>
      </c>
      <c r="P3" s="17" t="inlineStr">
        <is>
          <t>PASS</t>
        </is>
      </c>
      <c r="Q3" s="17" t="inlineStr">
        <is>
          <t>PASS</t>
        </is>
      </c>
      <c r="R3" s="17" t="inlineStr">
        <is>
          <t>PASS</t>
        </is>
      </c>
      <c r="S3" s="17" t="inlineStr">
        <is>
          <t>PASS</t>
        </is>
      </c>
      <c r="W3" s="17" t="inlineStr">
        <is>
          <t>Moderate with VIX (~0.5 normally, &gt;0.8 in crises)</t>
        </is>
      </c>
      <c r="Y3" s="17" t="inlineStr">
        <is>
          <t>Refinitiv / Yahoo ^MOVE</t>
        </is>
      </c>
      <c r="Z3" s="17" t="inlineStr">
        <is>
          <t>Daily</t>
        </is>
      </c>
      <c r="AA3" s="17" t="inlineStr">
        <is>
          <t>0d</t>
        </is>
      </c>
      <c r="AB3" s="17" t="inlineStr">
        <is>
          <t>Correlated with VIX in stress; take more negative signal</t>
        </is>
      </c>
      <c r="AC3" s="16" t="n">
        <v>46127</v>
      </c>
      <c r="AD3" s="16" t="n">
        <v>46204</v>
      </c>
      <c r="AE3" s="17" t="inlineStr">
        <is>
          <t>Quarterly 2026-04-15: RETAIN</t>
        </is>
      </c>
    </row>
    <row r="4" ht="15" customHeight="1" s="14">
      <c r="A4" s="17" t="inlineStr">
        <is>
          <t>V003</t>
        </is>
      </c>
      <c r="B4" s="17" t="inlineStr">
        <is>
          <t>DXY (Dollar Index)</t>
        </is>
      </c>
      <c r="C4" s="17" t="inlineStr">
        <is>
          <t>ICE US Dollar Index; weighted basket</t>
        </is>
      </c>
      <c r="D4" s="17" t="inlineStr">
        <is>
          <t>Cross-Asset</t>
        </is>
      </c>
      <c r="E4" s="17" t="inlineStr">
        <is>
          <t>Currency</t>
        </is>
      </c>
      <c r="F4" s="17" t="inlineStr">
        <is>
          <t>1-3 months</t>
        </is>
      </c>
      <c r="G4" s="17" t="inlineStr">
        <is>
          <t>Directional</t>
        </is>
      </c>
      <c r="H4" s="17" t="inlineStr">
        <is>
          <t>S</t>
        </is>
      </c>
      <c r="I4" s="17" t="inlineStr">
        <is>
          <t>Grade A</t>
        </is>
      </c>
      <c r="J4" s="17" t="inlineStr">
        <is>
          <t>Grade A</t>
        </is>
      </c>
      <c r="L4" s="17" t="inlineStr">
        <is>
          <t>Foundational</t>
        </is>
      </c>
      <c r="M4" s="17" t="inlineStr">
        <is>
          <t>Verdelhan (2018) JF</t>
        </is>
      </c>
      <c r="N4" s="17" t="inlineStr">
        <is>
          <t>Strong dollar = headwind for commodities, EM, risk assets</t>
        </is>
      </c>
      <c r="O4" s="17" t="inlineStr">
        <is>
          <t>PASS</t>
        </is>
      </c>
      <c r="P4" s="17" t="inlineStr">
        <is>
          <t>PASS</t>
        </is>
      </c>
      <c r="Q4" s="17" t="inlineStr">
        <is>
          <t>PASS</t>
        </is>
      </c>
      <c r="R4" s="17" t="inlineStr">
        <is>
          <t>PASS</t>
        </is>
      </c>
      <c r="S4" s="17" t="inlineStr">
        <is>
          <t>PASS</t>
        </is>
      </c>
      <c r="W4" s="17" t="inlineStr">
        <is>
          <t>Moderate inverse with Gold (~-0.6), Brent (~-0.4)</t>
        </is>
      </c>
      <c r="Y4" s="17" t="inlineStr">
        <is>
          <t>ICE / Yahoo DX-Y.NYB</t>
        </is>
      </c>
      <c r="Z4" s="17" t="inlineStr">
        <is>
          <t>Daily</t>
        </is>
      </c>
      <c r="AA4" s="17" t="inlineStr">
        <is>
          <t>0d</t>
        </is>
      </c>
      <c r="AC4" s="16" t="n">
        <v>46127</v>
      </c>
      <c r="AD4" s="16" t="n">
        <v>46204</v>
      </c>
      <c r="AE4" s="17" t="inlineStr">
        <is>
          <t>Quarterly 2026-04-15: RETAIN</t>
        </is>
      </c>
    </row>
    <row r="5" ht="15" customHeight="1" s="14">
      <c r="A5" s="17" t="inlineStr">
        <is>
          <t>V004</t>
        </is>
      </c>
      <c r="B5" s="17" t="inlineStr">
        <is>
          <t>HY OAS</t>
        </is>
      </c>
      <c r="C5" s="17" t="inlineStr">
        <is>
          <t>High Yield Option-Adjusted Spread; BAMLH0A0HYM2</t>
        </is>
      </c>
      <c r="D5" s="17" t="inlineStr">
        <is>
          <t>Cross-Asset</t>
        </is>
      </c>
      <c r="E5" s="17" t="inlineStr">
        <is>
          <t>Credit</t>
        </is>
      </c>
      <c r="F5" s="17" t="inlineStr">
        <is>
          <t>1-3 months</t>
        </is>
      </c>
      <c r="G5" s="17" t="inlineStr">
        <is>
          <t>Risk Management</t>
        </is>
      </c>
      <c r="H5" s="17" t="inlineStr">
        <is>
          <t>R</t>
        </is>
      </c>
      <c r="I5" s="17" t="inlineStr">
        <is>
          <t>Grade A</t>
        </is>
      </c>
      <c r="J5" s="17" t="inlineStr">
        <is>
          <t>Grade A</t>
        </is>
      </c>
      <c r="L5" s="17" t="inlineStr">
        <is>
          <t>Foundational</t>
        </is>
      </c>
      <c r="M5" s="17" t="inlineStr">
        <is>
          <t>Gilchrist-Zakrajsek (2012) AER</t>
        </is>
      </c>
      <c r="N5" s="17" t="inlineStr">
        <is>
          <t>Credit stress gauge; widening = risk-off, financial conditions tightening</t>
        </is>
      </c>
      <c r="O5" s="17" t="inlineStr">
        <is>
          <t>PASS</t>
        </is>
      </c>
      <c r="P5" s="17" t="inlineStr">
        <is>
          <t>PASS</t>
        </is>
      </c>
      <c r="Q5" s="17" t="inlineStr">
        <is>
          <t>PASS</t>
        </is>
      </c>
      <c r="R5" s="17" t="inlineStr">
        <is>
          <t>PASS</t>
        </is>
      </c>
      <c r="S5" s="17" t="inlineStr">
        <is>
          <t>PASS</t>
        </is>
      </c>
      <c r="W5" s="17" t="inlineStr">
        <is>
          <t>0.65-0.75 with intermediary capital post-2008</t>
        </is>
      </c>
      <c r="X5" s="17" t="inlineStr">
        <is>
          <t>Double-count gate with intermediary capital</t>
        </is>
      </c>
      <c r="Y5" s="17" t="inlineStr">
        <is>
          <t>FRED BAMLH0A0HYM2</t>
        </is>
      </c>
      <c r="Z5" s="17" t="inlineStr">
        <is>
          <t>Daily</t>
        </is>
      </c>
      <c r="AA5" s="17" t="inlineStr">
        <is>
          <t>1d</t>
        </is>
      </c>
      <c r="AB5" s="17" t="inlineStr">
        <is>
          <t>If both HY OAS and intermediary cap flag stress, take more negative — do not sum</t>
        </is>
      </c>
      <c r="AC5" s="16" t="n">
        <v>46127</v>
      </c>
      <c r="AD5" s="16" t="n">
        <v>46204</v>
      </c>
      <c r="AE5" s="17" t="inlineStr">
        <is>
          <t>Quarterly 2026-04-15: RETAIN</t>
        </is>
      </c>
    </row>
    <row r="6" ht="15" customHeight="1" s="14">
      <c r="A6" s="17" t="inlineStr">
        <is>
          <t>V005</t>
        </is>
      </c>
      <c r="B6" s="17" t="inlineStr">
        <is>
          <t>NFCI</t>
        </is>
      </c>
      <c r="C6" s="17" t="inlineStr">
        <is>
          <t>Chicago Fed National Financial Conditions Index</t>
        </is>
      </c>
      <c r="D6" s="17" t="inlineStr">
        <is>
          <t>Cross-Asset</t>
        </is>
      </c>
      <c r="E6" s="17" t="inlineStr">
        <is>
          <t>Financial conditions</t>
        </is>
      </c>
      <c r="F6" s="17" t="inlineStr">
        <is>
          <t>1-3 months</t>
        </is>
      </c>
      <c r="G6" s="17" t="inlineStr">
        <is>
          <t>Risk Management</t>
        </is>
      </c>
      <c r="H6" s="17" t="inlineStr">
        <is>
          <t>R</t>
        </is>
      </c>
      <c r="I6" s="17" t="inlineStr">
        <is>
          <t>Grade A</t>
        </is>
      </c>
      <c r="J6" s="17" t="inlineStr">
        <is>
          <t>Grade A</t>
        </is>
      </c>
      <c r="L6" s="17" t="inlineStr">
        <is>
          <t>Foundational</t>
        </is>
      </c>
      <c r="M6" s="17" t="inlineStr">
        <is>
          <t>Brave-Butters (2012)</t>
        </is>
      </c>
      <c r="N6" s="17" t="inlineStr">
        <is>
          <t>Composite financial conditions; negative = easy, positive = tight</t>
        </is>
      </c>
      <c r="O6" s="17" t="inlineStr">
        <is>
          <t>PASS</t>
        </is>
      </c>
      <c r="P6" s="17" t="inlineStr">
        <is>
          <t>PASS</t>
        </is>
      </c>
      <c r="Q6" s="17" t="inlineStr">
        <is>
          <t>PASS</t>
        </is>
      </c>
      <c r="R6" s="17" t="inlineStr">
        <is>
          <t>PASS</t>
        </is>
      </c>
      <c r="S6" s="17" t="inlineStr">
        <is>
          <t>PASS</t>
        </is>
      </c>
      <c r="Y6" s="17" t="inlineStr">
        <is>
          <t>Chicago Fed weekly CSV</t>
        </is>
      </c>
      <c r="Z6" s="17" t="inlineStr">
        <is>
          <t>Weekly</t>
        </is>
      </c>
      <c r="AA6" s="17" t="inlineStr">
        <is>
          <t>3-5d</t>
        </is>
      </c>
      <c r="AC6" s="16" t="n">
        <v>46127</v>
      </c>
      <c r="AD6" s="16" t="n">
        <v>46204</v>
      </c>
      <c r="AE6" s="17" t="inlineStr">
        <is>
          <t>Quarterly 2026-04-15: RETAIN</t>
        </is>
      </c>
    </row>
    <row r="7" ht="15" customHeight="1" s="14">
      <c r="A7" s="17" t="inlineStr">
        <is>
          <t>V006</t>
        </is>
      </c>
      <c r="B7" s="17" t="inlineStr">
        <is>
          <t>UST 2Y/10Y yields</t>
        </is>
      </c>
      <c r="C7" s="17" t="inlineStr">
        <is>
          <t>US Treasury yields DGS2/DGS10</t>
        </is>
      </c>
      <c r="D7" s="17" t="inlineStr">
        <is>
          <t>Rates</t>
        </is>
      </c>
      <c r="E7" s="17" t="inlineStr">
        <is>
          <t>Yield curve</t>
        </is>
      </c>
      <c r="F7" s="17" t="inlineStr">
        <is>
          <t>1-3 months</t>
        </is>
      </c>
      <c r="G7" s="17" t="inlineStr">
        <is>
          <t>Structural</t>
        </is>
      </c>
      <c r="H7" s="17" t="inlineStr">
        <is>
          <t>S</t>
        </is>
      </c>
      <c r="I7" s="17" t="inlineStr">
        <is>
          <t>Grade A</t>
        </is>
      </c>
      <c r="J7" s="17" t="inlineStr">
        <is>
          <t>Grade A</t>
        </is>
      </c>
      <c r="L7" s="17" t="inlineStr">
        <is>
          <t>Foundational</t>
        </is>
      </c>
      <c r="M7" s="17" t="inlineStr">
        <is>
          <t>Campbell-Shiller (1991); Adrian-Crump-Moench (2013)</t>
        </is>
      </c>
      <c r="N7" s="17" t="inlineStr">
        <is>
          <t>Term structure slope signals recession/expansion expectations</t>
        </is>
      </c>
      <c r="O7" s="17" t="inlineStr">
        <is>
          <t>PASS</t>
        </is>
      </c>
      <c r="P7" s="17" t="inlineStr">
        <is>
          <t>PASS</t>
        </is>
      </c>
      <c r="Q7" s="17" t="inlineStr">
        <is>
          <t>PASS</t>
        </is>
      </c>
      <c r="R7" s="17" t="inlineStr">
        <is>
          <t>PASS</t>
        </is>
      </c>
      <c r="S7" s="17" t="inlineStr">
        <is>
          <t>PASS</t>
        </is>
      </c>
      <c r="Y7" s="17" t="inlineStr">
        <is>
          <t>FRED DGS2/DGS10</t>
        </is>
      </c>
      <c r="Z7" s="17" t="inlineStr">
        <is>
          <t>Daily</t>
        </is>
      </c>
      <c r="AA7" s="17" t="inlineStr">
        <is>
          <t>1d</t>
        </is>
      </c>
      <c r="AC7" s="16" t="n">
        <v>46127</v>
      </c>
      <c r="AD7" s="16" t="n">
        <v>46204</v>
      </c>
      <c r="AE7" s="17" t="inlineStr">
        <is>
          <t>Quarterly 2026-04-15: RETAIN</t>
        </is>
      </c>
    </row>
    <row r="8" ht="15" customHeight="1" s="14">
      <c r="A8" s="17" t="inlineStr">
        <is>
          <t>V007</t>
        </is>
      </c>
      <c r="B8" s="17" t="inlineStr">
        <is>
          <t>Real yield / Breakevens</t>
        </is>
      </c>
      <c r="C8" s="17" t="inlineStr">
        <is>
          <t>10Y TIPS real yield (DFII10) and breakeven (T10YIE)</t>
        </is>
      </c>
      <c r="D8" s="17" t="inlineStr">
        <is>
          <t>Rates</t>
        </is>
      </c>
      <c r="E8" s="17" t="inlineStr">
        <is>
          <t>Inflation expectations</t>
        </is>
      </c>
      <c r="F8" s="17" t="inlineStr">
        <is>
          <t>1-3 months</t>
        </is>
      </c>
      <c r="G8" s="17" t="inlineStr">
        <is>
          <t>Structural</t>
        </is>
      </c>
      <c r="H8" s="17" t="inlineStr">
        <is>
          <t>S</t>
        </is>
      </c>
      <c r="I8" s="17" t="inlineStr">
        <is>
          <t>Grade A</t>
        </is>
      </c>
      <c r="J8" s="17" t="inlineStr">
        <is>
          <t>Grade A</t>
        </is>
      </c>
      <c r="L8" s="17" t="inlineStr">
        <is>
          <t>Foundational</t>
        </is>
      </c>
      <c r="M8" s="17" t="inlineStr">
        <is>
          <t>D'Amico et al. (2018)</t>
        </is>
      </c>
      <c r="N8" s="17" t="inlineStr">
        <is>
          <t>Real yields drive gold/commodity valuation; breakevens signal inflation expectations</t>
        </is>
      </c>
      <c r="O8" s="17" t="inlineStr">
        <is>
          <t>PASS</t>
        </is>
      </c>
      <c r="P8" s="17" t="inlineStr">
        <is>
          <t>PASS</t>
        </is>
      </c>
      <c r="Q8" s="17" t="inlineStr">
        <is>
          <t>PASS</t>
        </is>
      </c>
      <c r="R8" s="17" t="inlineStr">
        <is>
          <t>PASS</t>
        </is>
      </c>
      <c r="S8" s="17" t="inlineStr">
        <is>
          <t>PASS</t>
        </is>
      </c>
      <c r="W8" s="17" t="inlineStr">
        <is>
          <t>High with Gold (~-0.84 historically, broken post-2022)</t>
        </is>
      </c>
      <c r="X8" s="17" t="inlineStr">
        <is>
          <t>R² with Gold collapsed from 84% to 3-7% due to central bank buying</t>
        </is>
      </c>
      <c r="Y8" s="17" t="inlineStr">
        <is>
          <t>FRED DFII10/T10YIE</t>
        </is>
      </c>
      <c r="Z8" s="17" t="inlineStr">
        <is>
          <t>Daily</t>
        </is>
      </c>
      <c r="AA8" s="17" t="inlineStr">
        <is>
          <t>1d</t>
        </is>
      </c>
      <c r="AC8" s="16" t="n">
        <v>46127</v>
      </c>
      <c r="AD8" s="16" t="n">
        <v>46204</v>
      </c>
      <c r="AE8" s="17" t="inlineStr">
        <is>
          <t>Quarterly 2026-04-15: RETAIN. Note: Gold R² regime break flagged in Trad core</t>
        </is>
      </c>
    </row>
    <row r="9" ht="15" customHeight="1" s="14">
      <c r="A9" s="17" t="inlineStr">
        <is>
          <t>V008</t>
        </is>
      </c>
      <c r="B9" s="17" t="inlineStr">
        <is>
          <t>ACM Term Premium 10Y</t>
        </is>
      </c>
      <c r="C9" s="17" t="inlineStr">
        <is>
          <t>Adrian-Crump-Moench term premium estimate</t>
        </is>
      </c>
      <c r="D9" s="17" t="inlineStr">
        <is>
          <t>Rates</t>
        </is>
      </c>
      <c r="E9" s="17" t="inlineStr">
        <is>
          <t>Term premium</t>
        </is>
      </c>
      <c r="F9" s="17" t="inlineStr">
        <is>
          <t>3-12 months</t>
        </is>
      </c>
      <c r="G9" s="17" t="inlineStr">
        <is>
          <t>Structural</t>
        </is>
      </c>
      <c r="H9" s="17" t="inlineStr">
        <is>
          <t>S</t>
        </is>
      </c>
      <c r="I9" s="17" t="inlineStr">
        <is>
          <t>Grade A</t>
        </is>
      </c>
      <c r="J9" s="17" t="inlineStr">
        <is>
          <t>Grade A</t>
        </is>
      </c>
      <c r="L9" s="17" t="inlineStr">
        <is>
          <t>Foundational</t>
        </is>
      </c>
      <c r="M9" s="17" t="inlineStr">
        <is>
          <t>Adrian-Crump-Moench (2013) JFE</t>
        </is>
      </c>
      <c r="N9" s="17" t="inlineStr">
        <is>
          <t>Duration risk compensation; rising TP = tightening, falling = easing</t>
        </is>
      </c>
      <c r="O9" s="17" t="inlineStr">
        <is>
          <t>PASS</t>
        </is>
      </c>
      <c r="P9" s="17" t="inlineStr">
        <is>
          <t>PASS</t>
        </is>
      </c>
      <c r="Q9" s="17" t="inlineStr">
        <is>
          <t>PASS</t>
        </is>
      </c>
      <c r="R9" s="17" t="inlineStr">
        <is>
          <t>PASS</t>
        </is>
      </c>
      <c r="S9" s="17" t="inlineStr">
        <is>
          <t>PASS</t>
        </is>
      </c>
      <c r="Y9" s="17" t="inlineStr">
        <is>
          <t>NY Fed ACM CSV monthly</t>
        </is>
      </c>
      <c r="Z9" s="17" t="inlineStr">
        <is>
          <t>Monthly</t>
        </is>
      </c>
      <c r="AA9" s="17" t="inlineStr">
        <is>
          <t>2-4w</t>
        </is>
      </c>
      <c r="AC9" s="16" t="n">
        <v>46127</v>
      </c>
      <c r="AD9" s="16" t="n">
        <v>46204</v>
      </c>
      <c r="AE9" s="17" t="inlineStr">
        <is>
          <t>Quarterly 2026-04-15: DATA GAP — frequently MISSING (monthly lag)</t>
        </is>
      </c>
      <c r="AJ9" s="17" t="inlineStr">
        <is>
          <t>Persistent MISSING issue due to monthly publication lag</t>
        </is>
      </c>
    </row>
    <row r="10" ht="15" customHeight="1" s="14">
      <c r="A10" s="17" t="inlineStr">
        <is>
          <t>V009</t>
        </is>
      </c>
      <c r="B10" s="17" t="inlineStr">
        <is>
          <t>Time-series momentum (TSMOM)</t>
        </is>
      </c>
      <c r="C10" s="17" t="inlineStr">
        <is>
          <t>1m/3m/12m price momentum for indices/ETFs/commodities/FX/crypto</t>
        </is>
      </c>
      <c r="D10" s="17" t="inlineStr">
        <is>
          <t>All</t>
        </is>
      </c>
      <c r="E10" s="17" t="inlineStr">
        <is>
          <t>Momentum</t>
        </is>
      </c>
      <c r="F10" s="17" t="inlineStr">
        <is>
          <t>1-4 weeks</t>
        </is>
      </c>
      <c r="G10" s="17" t="inlineStr">
        <is>
          <t>Timing</t>
        </is>
      </c>
      <c r="H10" s="17" t="inlineStr">
        <is>
          <t>T</t>
        </is>
      </c>
      <c r="I10" s="17" t="inlineStr">
        <is>
          <t>Grade A</t>
        </is>
      </c>
      <c r="J10" s="17" t="inlineStr">
        <is>
          <t>Grade A</t>
        </is>
      </c>
      <c r="L10" s="17" t="inlineStr">
        <is>
          <t>Foundational</t>
        </is>
      </c>
      <c r="M10" s="17" t="inlineStr">
        <is>
          <t>Moskowitz-Ooi-Pedersen (2012) JFE</t>
        </is>
      </c>
      <c r="N10" s="17" t="inlineStr">
        <is>
          <t>Trend-following across asset classes; positive autocorrelation at 1-12m horizons</t>
        </is>
      </c>
      <c r="O10" s="17" t="inlineStr">
        <is>
          <t>PASS</t>
        </is>
      </c>
      <c r="P10" s="17" t="inlineStr">
        <is>
          <t>PASS</t>
        </is>
      </c>
      <c r="Q10" s="17" t="inlineStr">
        <is>
          <t>PASS</t>
        </is>
      </c>
      <c r="R10" s="17" t="inlineStr">
        <is>
          <t>PASS</t>
        </is>
      </c>
      <c r="S10" s="17" t="inlineStr">
        <is>
          <t>PASS</t>
        </is>
      </c>
      <c r="T10" s="17" t="n">
        <v>0.9</v>
      </c>
      <c r="U10" s="17" t="n">
        <v>40</v>
      </c>
      <c r="V10" s="17" t="n">
        <v>0.54</v>
      </c>
      <c r="Y10" s="17" t="inlineStr">
        <is>
          <t>Derived from price series</t>
        </is>
      </c>
      <c r="Z10" s="17" t="inlineStr">
        <is>
          <t>Daily</t>
        </is>
      </c>
      <c r="AA10" s="17" t="inlineStr">
        <is>
          <t>0d</t>
        </is>
      </c>
      <c r="AB10" s="17" t="inlineStr">
        <is>
          <t>For single stocks: prefer residual momentum (V026) over raw TSMOM</t>
        </is>
      </c>
      <c r="AC10" s="16" t="n">
        <v>46127</v>
      </c>
      <c r="AD10" s="16" t="n">
        <v>46204</v>
      </c>
      <c r="AE10" s="17" t="inlineStr">
        <is>
          <t>Quarterly 2026-04-15: RETAIN</t>
        </is>
      </c>
    </row>
    <row r="11" ht="15" customHeight="1" s="14">
      <c r="A11" s="17" t="inlineStr">
        <is>
          <t>V010</t>
        </is>
      </c>
      <c r="B11" s="17" t="inlineStr">
        <is>
          <t>Revision breadth</t>
        </is>
      </c>
      <c r="C11" s="17" t="inlineStr">
        <is>
          <t>Net earnings revision breadth across analyst estimates</t>
        </is>
      </c>
      <c r="D11" s="17" t="inlineStr">
        <is>
          <t>Equities</t>
        </is>
      </c>
      <c r="E11" s="17" t="inlineStr">
        <is>
          <t>Earnings</t>
        </is>
      </c>
      <c r="F11" s="17" t="inlineStr">
        <is>
          <t>1-4 weeks</t>
        </is>
      </c>
      <c r="G11" s="17" t="inlineStr">
        <is>
          <t>Timing</t>
        </is>
      </c>
      <c r="H11" s="17" t="inlineStr">
        <is>
          <t>T</t>
        </is>
      </c>
      <c r="I11" s="17" t="inlineStr">
        <is>
          <t>Grade A</t>
        </is>
      </c>
      <c r="J11" s="17" t="inlineStr">
        <is>
          <t>Grade A</t>
        </is>
      </c>
      <c r="L11" s="17" t="inlineStr">
        <is>
          <t>Foundational</t>
        </is>
      </c>
      <c r="M11" s="17" t="inlineStr">
        <is>
          <t>Gleason-Lee (2003); multiple replication studies</t>
        </is>
      </c>
      <c r="N11" s="17" t="inlineStr">
        <is>
          <t>Analyst revisions contain information; breadth captures consensus shift direction</t>
        </is>
      </c>
      <c r="O11" s="17" t="inlineStr">
        <is>
          <t>PASS</t>
        </is>
      </c>
      <c r="P11" s="17" t="inlineStr">
        <is>
          <t>PASS</t>
        </is>
      </c>
      <c r="Q11" s="17" t="inlineStr">
        <is>
          <t>PASS</t>
        </is>
      </c>
      <c r="R11" s="17" t="inlineStr">
        <is>
          <t>PASS</t>
        </is>
      </c>
      <c r="S11" s="17" t="inlineStr">
        <is>
          <t>PASS</t>
        </is>
      </c>
      <c r="Y11" s="17" t="inlineStr">
        <is>
          <t>Zacks / I/B/E/S via SimplyWallSt</t>
        </is>
      </c>
      <c r="Z11" s="17" t="inlineStr">
        <is>
          <t>Weekly</t>
        </is>
      </c>
      <c r="AA11" s="17" t="inlineStr">
        <is>
          <t>1-3d</t>
        </is>
      </c>
      <c r="AC11" s="16" t="n">
        <v>46127</v>
      </c>
      <c r="AD11" s="16" t="n">
        <v>46204</v>
      </c>
      <c r="AE11" s="17" t="inlineStr">
        <is>
          <t>Quarterly 2026-04-15: RETAIN</t>
        </is>
      </c>
    </row>
    <row r="12" ht="15" customHeight="1" s="14">
      <c r="A12" s="17" t="inlineStr">
        <is>
          <t>V011</t>
        </is>
      </c>
      <c r="B12" s="17" t="inlineStr">
        <is>
          <t>Brent M1-M3 curve slope</t>
        </is>
      </c>
      <c r="C12" s="17" t="inlineStr">
        <is>
          <t>Front-month to third-month futures curve shape</t>
        </is>
      </c>
      <c r="D12" s="17" t="inlineStr">
        <is>
          <t>Commodities</t>
        </is>
      </c>
      <c r="E12" s="17" t="inlineStr">
        <is>
          <t>Term structure</t>
        </is>
      </c>
      <c r="F12" s="17" t="inlineStr">
        <is>
          <t>1-4 weeks</t>
        </is>
      </c>
      <c r="G12" s="17" t="inlineStr">
        <is>
          <t>Structural</t>
        </is>
      </c>
      <c r="H12" s="17" t="inlineStr">
        <is>
          <t>S</t>
        </is>
      </c>
      <c r="I12" s="17" t="inlineStr">
        <is>
          <t>Grade A</t>
        </is>
      </c>
      <c r="J12" s="17" t="inlineStr">
        <is>
          <t>Grade A</t>
        </is>
      </c>
      <c r="L12" s="17" t="inlineStr">
        <is>
          <t>Foundational</t>
        </is>
      </c>
      <c r="M12" s="17" t="inlineStr">
        <is>
          <t>Gorton-Hayashi-Rouwenhorst (2013) JF</t>
        </is>
      </c>
      <c r="N12" s="17" t="inlineStr">
        <is>
          <t>Backwardation = supply tightness, contango = oversupply; core commodity structural signal</t>
        </is>
      </c>
      <c r="O12" s="17" t="inlineStr">
        <is>
          <t>PASS</t>
        </is>
      </c>
      <c r="P12" s="17" t="inlineStr">
        <is>
          <t>PASS</t>
        </is>
      </c>
      <c r="Q12" s="17" t="inlineStr">
        <is>
          <t>PASS</t>
        </is>
      </c>
      <c r="R12" s="17" t="inlineStr">
        <is>
          <t>PASS</t>
        </is>
      </c>
      <c r="S12" s="17" t="inlineStr">
        <is>
          <t>PASS</t>
        </is>
      </c>
      <c r="W12" s="17" t="inlineStr">
        <is>
          <t>Supplemented by basis-momentum (V028)</t>
        </is>
      </c>
      <c r="X12" s="17" t="inlineStr">
        <is>
          <t>Static slope + basis-momentum = full curve picture</t>
        </is>
      </c>
      <c r="Y12" s="17" t="inlineStr">
        <is>
          <t>CME/ICE settlements, Barchart</t>
        </is>
      </c>
      <c r="Z12" s="17" t="inlineStr">
        <is>
          <t>Daily</t>
        </is>
      </c>
      <c r="AA12" s="17" t="inlineStr">
        <is>
          <t>0d</t>
        </is>
      </c>
      <c r="AB12" s="17" t="inlineStr">
        <is>
          <t>Divergence cap with basis-momentum: if static slope=+1 but basis-mom flattening, cap S at 0</t>
        </is>
      </c>
      <c r="AC12" s="16" t="n">
        <v>46127</v>
      </c>
      <c r="AD12" s="16" t="n">
        <v>46204</v>
      </c>
      <c r="AE12" s="17" t="inlineStr">
        <is>
          <t>Quarterly 2026-04-15: RETAIN</t>
        </is>
      </c>
    </row>
    <row r="13" ht="15" customHeight="1" s="14">
      <c r="A13" s="17" t="inlineStr">
        <is>
          <t>V012</t>
        </is>
      </c>
      <c r="B13" s="17" t="inlineStr">
        <is>
          <t>BTC active addresses</t>
        </is>
      </c>
      <c r="C13" s="17" t="inlineStr">
        <is>
          <t>Daily unique Bitcoin addresses transacting on-chain</t>
        </is>
      </c>
      <c r="D13" s="17" t="inlineStr">
        <is>
          <t>Crypto</t>
        </is>
      </c>
      <c r="E13" s="17" t="inlineStr">
        <is>
          <t>Network activity</t>
        </is>
      </c>
      <c r="F13" s="17" t="inlineStr">
        <is>
          <t>1-3 months</t>
        </is>
      </c>
      <c r="G13" s="17" t="inlineStr">
        <is>
          <t>Structural</t>
        </is>
      </c>
      <c r="H13" s="17" t="inlineStr">
        <is>
          <t>S</t>
        </is>
      </c>
      <c r="I13" s="17" t="inlineStr">
        <is>
          <t>Grade A</t>
        </is>
      </c>
      <c r="J13" s="17" t="inlineStr">
        <is>
          <t>Grade A</t>
        </is>
      </c>
      <c r="L13" s="17" t="inlineStr">
        <is>
          <t>Foundational</t>
        </is>
      </c>
      <c r="M13" s="17" t="inlineStr">
        <is>
          <t>Liu-Tsyvinski (2021) JF; Cong-He-Li (2021)</t>
        </is>
      </c>
      <c r="N13" s="17" t="inlineStr">
        <is>
          <t>Network usage proxy; declining addresses = declining utility, bearish structural</t>
        </is>
      </c>
      <c r="O13" s="17" t="inlineStr">
        <is>
          <t>PASS</t>
        </is>
      </c>
      <c r="P13" s="17" t="inlineStr">
        <is>
          <t>PASS</t>
        </is>
      </c>
      <c r="Q13" s="17" t="inlineStr">
        <is>
          <t>PASS</t>
        </is>
      </c>
      <c r="R13" s="17" t="inlineStr">
        <is>
          <t>PASS</t>
        </is>
      </c>
      <c r="S13" s="17" t="inlineStr">
        <is>
          <t>PASS</t>
        </is>
      </c>
      <c r="Y13" s="17" t="inlineStr">
        <is>
          <t>blockchain.com / Glassnode free</t>
        </is>
      </c>
      <c r="Z13" s="17" t="inlineStr">
        <is>
          <t>Daily</t>
        </is>
      </c>
      <c r="AA13" s="17" t="inlineStr">
        <is>
          <t>0-1d</t>
        </is>
      </c>
      <c r="AC13" s="16" t="n">
        <v>46127</v>
      </c>
      <c r="AD13" s="16" t="n">
        <v>46204</v>
      </c>
      <c r="AE13" s="17" t="inlineStr">
        <is>
          <t>Quarterly 2026-04-15: RETAIN. Currently STALE (Apr-12, 364k)</t>
        </is>
      </c>
      <c r="AJ13" s="17" t="inlineStr">
        <is>
          <t>Blocks BTC long: S=-1 when addresses collapse</t>
        </is>
      </c>
    </row>
    <row r="14" ht="15" customHeight="1" s="14">
      <c r="A14" s="17" t="inlineStr">
        <is>
          <t>V013</t>
        </is>
      </c>
      <c r="B14" s="17" t="inlineStr">
        <is>
          <t>BTC hash rate</t>
        </is>
      </c>
      <c r="C14" s="17" t="inlineStr">
        <is>
          <t>Total network hash rate (EH/s)</t>
        </is>
      </c>
      <c r="D14" s="17" t="inlineStr">
        <is>
          <t>Crypto</t>
        </is>
      </c>
      <c r="E14" s="17" t="inlineStr">
        <is>
          <t>Mining/Security</t>
        </is>
      </c>
      <c r="F14" s="17" t="inlineStr">
        <is>
          <t>Structural</t>
        </is>
      </c>
      <c r="G14" s="17" t="inlineStr">
        <is>
          <t>Structural</t>
        </is>
      </c>
      <c r="H14" s="17" t="inlineStr">
        <is>
          <t>S</t>
        </is>
      </c>
      <c r="I14" s="17" t="inlineStr">
        <is>
          <t>Grade A</t>
        </is>
      </c>
      <c r="J14" s="17" t="inlineStr">
        <is>
          <t>Grade A</t>
        </is>
      </c>
      <c r="L14" s="17" t="inlineStr">
        <is>
          <t>Foundational</t>
        </is>
      </c>
      <c r="M14" s="17" t="inlineStr">
        <is>
          <t>Cong-He-Li (2021)</t>
        </is>
      </c>
      <c r="N14" s="17" t="inlineStr">
        <is>
          <t>Security proxy; ATH hash rate = strong miner commitment</t>
        </is>
      </c>
      <c r="O14" s="17" t="inlineStr">
        <is>
          <t>PASS</t>
        </is>
      </c>
      <c r="P14" s="17" t="inlineStr">
        <is>
          <t>PASS</t>
        </is>
      </c>
      <c r="Q14" s="17" t="inlineStr">
        <is>
          <t>PASS</t>
        </is>
      </c>
      <c r="R14" s="17" t="inlineStr">
        <is>
          <t>PASS</t>
        </is>
      </c>
      <c r="S14" s="17" t="inlineStr">
        <is>
          <t>PASS</t>
        </is>
      </c>
      <c r="Y14" s="17" t="inlineStr">
        <is>
          <t>blockchain.com</t>
        </is>
      </c>
      <c r="Z14" s="17" t="inlineStr">
        <is>
          <t>Daily</t>
        </is>
      </c>
      <c r="AA14" s="17" t="inlineStr">
        <is>
          <t>0-1d</t>
        </is>
      </c>
      <c r="AC14" s="16" t="n">
        <v>46127</v>
      </c>
      <c r="AD14" s="16" t="n">
        <v>46204</v>
      </c>
      <c r="AE14" s="17" t="inlineStr">
        <is>
          <t>Quarterly 2026-04-15: RETAIN</t>
        </is>
      </c>
    </row>
    <row r="15" ht="15" customHeight="1" s="14">
      <c r="A15" s="17" t="inlineStr">
        <is>
          <t>V014</t>
        </is>
      </c>
      <c r="B15" s="17" t="inlineStr">
        <is>
          <t>BTC exchange netflows</t>
        </is>
      </c>
      <c r="C15" s="17" t="inlineStr">
        <is>
          <t>Net BTC flow into/out of exchanges (CryptoQuant)</t>
        </is>
      </c>
      <c r="D15" s="17" t="inlineStr">
        <is>
          <t>Crypto</t>
        </is>
      </c>
      <c r="E15" s="17" t="inlineStr">
        <is>
          <t>Flow</t>
        </is>
      </c>
      <c r="F15" s="17" t="inlineStr">
        <is>
          <t>1-5 days</t>
        </is>
      </c>
      <c r="G15" s="17" t="inlineStr">
        <is>
          <t>Timing</t>
        </is>
      </c>
      <c r="H15" s="17" t="inlineStr">
        <is>
          <t>T</t>
        </is>
      </c>
      <c r="I15" s="17" t="inlineStr">
        <is>
          <t>Grade A</t>
        </is>
      </c>
      <c r="J15" s="17" t="inlineStr">
        <is>
          <t>Grade A</t>
        </is>
      </c>
      <c r="L15" s="17" t="inlineStr">
        <is>
          <t>Foundational</t>
        </is>
      </c>
      <c r="M15" s="17" t="inlineStr">
        <is>
          <t>Aloosh-Ouzan-Shahzad (2023)</t>
        </is>
      </c>
      <c r="N15" s="17" t="inlineStr">
        <is>
          <t>Net outflow = accumulation (bullish); net inflow = distribution (bearish)</t>
        </is>
      </c>
      <c r="O15" s="17" t="inlineStr">
        <is>
          <t>PASS</t>
        </is>
      </c>
      <c r="P15" s="17" t="inlineStr">
        <is>
          <t>PASS</t>
        </is>
      </c>
      <c r="Q15" s="17" t="inlineStr">
        <is>
          <t>PASS</t>
        </is>
      </c>
      <c r="R15" s="17" t="inlineStr">
        <is>
          <t>PASS</t>
        </is>
      </c>
      <c r="S15" s="17" t="inlineStr">
        <is>
          <t>PASS</t>
        </is>
      </c>
      <c r="Y15" s="17" t="inlineStr">
        <is>
          <t>CryptoQuant free tier</t>
        </is>
      </c>
      <c r="Z15" s="17" t="inlineStr">
        <is>
          <t>Daily</t>
        </is>
      </c>
      <c r="AA15" s="17" t="inlineStr">
        <is>
          <t>0-1d</t>
        </is>
      </c>
      <c r="AC15" s="16" t="n">
        <v>46127</v>
      </c>
      <c r="AD15" s="16" t="n">
        <v>46204</v>
      </c>
      <c r="AE15" s="17" t="inlineStr">
        <is>
          <t>Quarterly 2026-04-15: RETAIN</t>
        </is>
      </c>
    </row>
    <row r="16" ht="15" customHeight="1" s="14">
      <c r="A16" s="17" t="inlineStr">
        <is>
          <t>V015</t>
        </is>
      </c>
      <c r="B16" s="17" t="inlineStr">
        <is>
          <t>BTC realized vol</t>
        </is>
      </c>
      <c r="C16" s="17" t="inlineStr">
        <is>
          <t>Rolling 30d realized volatility from OHLC</t>
        </is>
      </c>
      <c r="D16" s="17" t="inlineStr">
        <is>
          <t>Crypto</t>
        </is>
      </c>
      <c r="E16" s="17" t="inlineStr">
        <is>
          <t>Volatility</t>
        </is>
      </c>
      <c r="F16" s="17" t="inlineStr">
        <is>
          <t>1-4 weeks</t>
        </is>
      </c>
      <c r="G16" s="17" t="inlineStr">
        <is>
          <t>Risk Management</t>
        </is>
      </c>
      <c r="H16" s="17" t="inlineStr">
        <is>
          <t>R</t>
        </is>
      </c>
      <c r="I16" s="17" t="inlineStr">
        <is>
          <t>Grade A</t>
        </is>
      </c>
      <c r="J16" s="17" t="inlineStr">
        <is>
          <t>Grade A</t>
        </is>
      </c>
      <c r="L16" s="17" t="inlineStr">
        <is>
          <t>Foundational</t>
        </is>
      </c>
      <c r="M16" s="17" t="inlineStr">
        <is>
          <t>Liu-Tsyvinski (2021) JF</t>
        </is>
      </c>
      <c r="N16" s="17" t="inlineStr">
        <is>
          <t>Vol regime identification; high realized vol = crash-prone, apply larger stops</t>
        </is>
      </c>
      <c r="O16" s="17" t="inlineStr">
        <is>
          <t>PASS</t>
        </is>
      </c>
      <c r="P16" s="17" t="inlineStr">
        <is>
          <t>PASS</t>
        </is>
      </c>
      <c r="Q16" s="17" t="inlineStr">
        <is>
          <t>PASS</t>
        </is>
      </c>
      <c r="R16" s="17" t="inlineStr">
        <is>
          <t>PASS</t>
        </is>
      </c>
      <c r="S16" s="17" t="inlineStr">
        <is>
          <t>PASS</t>
        </is>
      </c>
      <c r="Y16" s="17" t="inlineStr">
        <is>
          <t>Derived from BTC OHLC (30d)</t>
        </is>
      </c>
      <c r="Z16" s="17" t="inlineStr">
        <is>
          <t>Daily</t>
        </is>
      </c>
      <c r="AA16" s="17" t="inlineStr">
        <is>
          <t>0d</t>
        </is>
      </c>
      <c r="AC16" s="16" t="n">
        <v>46127</v>
      </c>
      <c r="AD16" s="16" t="n">
        <v>46204</v>
      </c>
      <c r="AE16" s="17" t="inlineStr">
        <is>
          <t>Quarterly 2026-04-15: RETAIN</t>
        </is>
      </c>
    </row>
    <row r="17" ht="15" customHeight="1" s="14">
      <c r="A17" s="17" t="inlineStr">
        <is>
          <t>V026</t>
        </is>
      </c>
      <c r="B17" s="17" t="inlineStr">
        <is>
          <t>Residual momentum (FF5)</t>
        </is>
      </c>
      <c r="C17" s="17" t="inlineStr">
        <is>
          <t>12m return residualized against Fama-French 5-factor model for single stocks</t>
        </is>
      </c>
      <c r="D17" s="17" t="inlineStr">
        <is>
          <t>Equities</t>
        </is>
      </c>
      <c r="E17" s="17" t="inlineStr">
        <is>
          <t>Factor-adjusted momentum</t>
        </is>
      </c>
      <c r="F17" s="17" t="inlineStr">
        <is>
          <t>1-3 months</t>
        </is>
      </c>
      <c r="G17" s="17" t="inlineStr">
        <is>
          <t>Timing</t>
        </is>
      </c>
      <c r="H17" s="17" t="inlineStr">
        <is>
          <t>T</t>
        </is>
      </c>
      <c r="I17" s="17" t="inlineStr">
        <is>
          <t>Grade A</t>
        </is>
      </c>
      <c r="J17" s="17" t="inlineStr">
        <is>
          <t>Approved</t>
        </is>
      </c>
      <c r="K17" s="16" t="n">
        <v>46126</v>
      </c>
      <c r="L17" s="17" t="inlineStr">
        <is>
          <t>Methodology audit</t>
        </is>
      </c>
      <c r="M17" s="17" t="inlineStr">
        <is>
          <t>Blitz-Huij-Martens (2011) JEF; Asness-Moskowitz-Pedersen (2013) JF</t>
        </is>
      </c>
      <c r="N17" s="17" t="inlineStr">
        <is>
          <t>Strips out beta/value/size/profitability/investment exposures; residual captures alpha momentum vs factor-driven momentum</t>
        </is>
      </c>
      <c r="O17" s="17" t="inlineStr">
        <is>
          <t>PASS</t>
        </is>
      </c>
      <c r="P17" s="17" t="inlineStr">
        <is>
          <t>PASS</t>
        </is>
      </c>
      <c r="Q17" s="17" t="inlineStr">
        <is>
          <t>PASS</t>
        </is>
      </c>
      <c r="R17" s="17" t="inlineStr">
        <is>
          <t>PASS</t>
        </is>
      </c>
      <c r="S17" s="17" t="inlineStr">
        <is>
          <t>PASS</t>
        </is>
      </c>
      <c r="T17" s="17" t="n">
        <v>0.7</v>
      </c>
      <c r="U17" s="17" t="n">
        <v>40</v>
      </c>
      <c r="V17" s="17" t="n">
        <v>0.42</v>
      </c>
      <c r="W17" s="17" t="inlineStr">
        <is>
          <t>Moderate with raw TSMOM; designed to be orthogonal</t>
        </is>
      </c>
      <c r="X17" s="17" t="inlineStr">
        <is>
          <t>Replaces raw TSMOM for single stocks when they disagree</t>
        </is>
      </c>
      <c r="Y17" s="17" t="inlineStr">
        <is>
          <t>Kenneth French library + derived OLS</t>
        </is>
      </c>
      <c r="Z17" s="17" t="inlineStr">
        <is>
          <t>Monthly</t>
        </is>
      </c>
      <c r="AA17" s="17" t="inlineStr">
        <is>
          <t>1-2w</t>
        </is>
      </c>
      <c r="AB17" s="17" t="inlineStr">
        <is>
          <t>When raw TSMOM and residual conflict, trust residual (per Daniel-Moskowitz 2016)</t>
        </is>
      </c>
      <c r="AC17" s="16" t="n">
        <v>46127</v>
      </c>
      <c r="AD17" s="16" t="n">
        <v>46309</v>
      </c>
      <c r="AE17" s="17" t="inlineStr">
        <is>
          <t>Added 2026-04-14 audit. Quarterly 2026-04-15: early-CONFIRMED (decision-moving). Pipeline instability flagged.</t>
        </is>
      </c>
      <c r="AF17" s="16" t="n">
        <v>46126</v>
      </c>
      <c r="AH17" s="17" t="n">
        <v>8</v>
      </c>
      <c r="AI17" s="17" t="inlineStr">
        <is>
          <t>Decision-moving: promoted TSM, demoted AMZN/META, de-promoted TSM v3</t>
        </is>
      </c>
      <c r="AJ17" s="17" t="inlineStr">
        <is>
          <t>6-month review gate 2026-10-14. Pipeline produced different results in two same-day computes — stability issue to investigate.</t>
        </is>
      </c>
    </row>
    <row r="18" ht="15" customHeight="1" s="14">
      <c r="A18" s="17" t="inlineStr">
        <is>
          <t>V027</t>
        </is>
      </c>
      <c r="B18" s="17" t="inlineStr">
        <is>
          <t>Intermediary capital ratio</t>
        </is>
      </c>
      <c r="C18" s="17" t="inlineStr">
        <is>
          <t>NY Fed primary-dealer equity/total-capital ratio, z-score vs 3y rolling mean</t>
        </is>
      </c>
      <c r="D18" s="17" t="inlineStr">
        <is>
          <t>Cross-Asset</t>
        </is>
      </c>
      <c r="E18" s="17" t="inlineStr">
        <is>
          <t>Dealer constraints</t>
        </is>
      </c>
      <c r="F18" s="17" t="inlineStr">
        <is>
          <t>1-3 months</t>
        </is>
      </c>
      <c r="G18" s="17" t="inlineStr">
        <is>
          <t>Risk Management</t>
        </is>
      </c>
      <c r="H18" s="17" t="inlineStr">
        <is>
          <t>R</t>
        </is>
      </c>
      <c r="I18" s="17" t="inlineStr">
        <is>
          <t>Grade A</t>
        </is>
      </c>
      <c r="J18" s="17" t="inlineStr">
        <is>
          <t>Approved</t>
        </is>
      </c>
      <c r="K18" s="16" t="n">
        <v>46126</v>
      </c>
      <c r="L18" s="17" t="inlineStr">
        <is>
          <t>Methodology audit</t>
        </is>
      </c>
      <c r="M18" s="17" t="inlineStr">
        <is>
          <t>He-Kelly-Manela (2017) JFE</t>
        </is>
      </c>
      <c r="N18" s="17" t="inlineStr">
        <is>
          <t>Dealer balance-sheet constraint leading indicator; z&lt;-1σ = tightening before HY OAS widens</t>
        </is>
      </c>
      <c r="O18" s="17" t="inlineStr">
        <is>
          <t>PASS</t>
        </is>
      </c>
      <c r="P18" s="17" t="inlineStr">
        <is>
          <t>PASS</t>
        </is>
      </c>
      <c r="Q18" s="17" t="inlineStr">
        <is>
          <t>PASS</t>
        </is>
      </c>
      <c r="R18" s="17" t="inlineStr">
        <is>
          <t>PASS</t>
        </is>
      </c>
      <c r="S18" s="17" t="inlineStr">
        <is>
          <t>PASS</t>
        </is>
      </c>
      <c r="T18" s="17" t="n">
        <v>0.6</v>
      </c>
      <c r="U18" s="17" t="n">
        <v>40</v>
      </c>
      <c r="V18" s="17" t="n">
        <v>0.36</v>
      </c>
      <c r="W18" s="17" t="inlineStr">
        <is>
          <t>0.65-0.75 with HY OAS post-2008</t>
        </is>
      </c>
      <c r="X18" s="17" t="inlineStr">
        <is>
          <t>Double-count gate: if both flag stress, take more negative, not sum</t>
        </is>
      </c>
      <c r="Y18" s="17" t="inlineStr">
        <is>
          <t>NY Fed PD statistics weekly CSV</t>
        </is>
      </c>
      <c r="Z18" s="17" t="inlineStr">
        <is>
          <t>Weekly</t>
        </is>
      </c>
      <c r="AA18" s="17" t="inlineStr">
        <is>
          <t>~1w</t>
        </is>
      </c>
      <c r="AB18" s="17" t="inlineStr">
        <is>
          <t>If z&lt;-1σ: downgrade R by one notch on equities, commodities, FX longs. Do not double-count with HY OAS.</t>
        </is>
      </c>
      <c r="AC18" s="16" t="n">
        <v>46127</v>
      </c>
      <c r="AD18" s="16" t="n">
        <v>46309</v>
      </c>
      <c r="AE18" s="17" t="inlineStr">
        <is>
          <t>Added 2026-04-14 audit. Quarterly 2026-04-15: DATA GAP (z=+1.86, no downgrade triggered yet)</t>
        </is>
      </c>
      <c r="AF18" s="16" t="n">
        <v>46126</v>
      </c>
      <c r="AH18" s="17" t="n">
        <v>1</v>
      </c>
      <c r="AI18" s="17" t="inlineStr">
        <is>
          <t>Resolved EWY fail-loud caveat; no downgrade triggered (z positive)</t>
        </is>
      </c>
      <c r="AJ18" s="17" t="inlineStr">
        <is>
          <t>6-month review gate 2026-10-14. Currently ample capacity (z=+1.86). Will only prove value if dealers tighten.</t>
        </is>
      </c>
    </row>
    <row r="19" ht="15" customHeight="1" s="14">
      <c r="A19" s="17" t="inlineStr">
        <is>
          <t>V028</t>
        </is>
      </c>
      <c r="B19" s="17" t="inlineStr">
        <is>
          <t>Basis-momentum</t>
        </is>
      </c>
      <c r="C19" s="17" t="inlineStr">
        <is>
          <t>4w and 12w change in front-curve F1-F2 slope for commodities</t>
        </is>
      </c>
      <c r="D19" s="17" t="inlineStr">
        <is>
          <t>Commodities</t>
        </is>
      </c>
      <c r="E19" s="17" t="inlineStr">
        <is>
          <t>Curve dynamics</t>
        </is>
      </c>
      <c r="F19" s="17" t="inlineStr">
        <is>
          <t>1-4 weeks</t>
        </is>
      </c>
      <c r="G19" s="17" t="inlineStr">
        <is>
          <t>Structural</t>
        </is>
      </c>
      <c r="H19" s="17" t="inlineStr">
        <is>
          <t>S</t>
        </is>
      </c>
      <c r="I19" s="17" t="inlineStr">
        <is>
          <t>Grade A</t>
        </is>
      </c>
      <c r="J19" s="17" t="inlineStr">
        <is>
          <t>Approved</t>
        </is>
      </c>
      <c r="K19" s="16" t="n">
        <v>46126</v>
      </c>
      <c r="L19" s="17" t="inlineStr">
        <is>
          <t>Methodology audit</t>
        </is>
      </c>
      <c r="M19" s="17" t="inlineStr">
        <is>
          <t>Boons-Prado (2019) JF</t>
        </is>
      </c>
      <c r="N19" s="17" t="inlineStr">
        <is>
          <t>Dynamic complement to static curve slope; catches curve-shape exhaustion that static slope misses</t>
        </is>
      </c>
      <c r="O19" s="17" t="inlineStr">
        <is>
          <t>PASS</t>
        </is>
      </c>
      <c r="P19" s="17" t="inlineStr">
        <is>
          <t>PASS</t>
        </is>
      </c>
      <c r="Q19" s="17" t="inlineStr">
        <is>
          <t>PASS</t>
        </is>
      </c>
      <c r="R19" s="17" t="inlineStr">
        <is>
          <t>PASS</t>
        </is>
      </c>
      <c r="S19" s="17" t="inlineStr">
        <is>
          <t>PASS</t>
        </is>
      </c>
      <c r="T19" s="17" t="n">
        <v>0.8</v>
      </c>
      <c r="U19" s="17" t="n">
        <v>40</v>
      </c>
      <c r="V19" s="17" t="n">
        <v>0.48</v>
      </c>
      <c r="W19" s="17" t="inlineStr">
        <is>
          <t>Supplements V011 (static curve slope); designed to be complementary</t>
        </is>
      </c>
      <c r="X19" s="17" t="inlineStr">
        <is>
          <t>Always used WITH static slope, never alone</t>
        </is>
      </c>
      <c r="Y19" s="17" t="inlineStr">
        <is>
          <t>Derived from front-curve daily settlements</t>
        </is>
      </c>
      <c r="Z19" s="17" t="inlineStr">
        <is>
          <t>Daily</t>
        </is>
      </c>
      <c r="AA19" s="17" t="inlineStr">
        <is>
          <t>0d</t>
        </is>
      </c>
      <c r="AB19" s="17" t="inlineStr">
        <is>
          <t>Divergence cap: if static slope=+1 but basis-mom flattening, cap S at 0</t>
        </is>
      </c>
      <c r="AC19" s="16" t="n">
        <v>46127</v>
      </c>
      <c r="AD19" s="16" t="n">
        <v>46309</v>
      </c>
      <c r="AE19" s="17" t="inlineStr">
        <is>
          <t>Added 2026-04-14 audit. Quarterly 2026-04-15: early-CONFIRMED (decision-moving). Divergence cap fired on WTI/Gold.</t>
        </is>
      </c>
      <c r="AF19" s="16" t="n">
        <v>46126</v>
      </c>
      <c r="AH19" s="17" t="n">
        <v>4</v>
      </c>
      <c r="AI19" s="17" t="inlineStr">
        <is>
          <t>Decision-moving: capped S at 0 for WTI and Gold (divergence); restored S to +1 when caps removed (v3)</t>
        </is>
      </c>
      <c r="AJ19" s="17" t="inlineStr">
        <is>
          <t>6-month review gate 2026-10-14. Already the most active audit addition after 1 day.</t>
        </is>
      </c>
    </row>
    <row r="20" ht="15" customHeight="1" s="14">
      <c r="A20" s="17" t="inlineStr">
        <is>
          <t>V016</t>
        </is>
      </c>
      <c r="B20" s="17" t="inlineStr">
        <is>
          <t>BTC perp funding rate</t>
        </is>
      </c>
      <c r="C20" s="17" t="inlineStr">
        <is>
          <t>Perpetual swap funding rate (Binance, OKX)</t>
        </is>
      </c>
      <c r="D20" s="17" t="inlineStr">
        <is>
          <t>Crypto</t>
        </is>
      </c>
      <c r="E20" s="17" t="inlineStr">
        <is>
          <t>Crowding</t>
        </is>
      </c>
      <c r="F20" s="17" t="inlineStr">
        <is>
          <t>1-5 days</t>
        </is>
      </c>
      <c r="G20" s="17" t="inlineStr">
        <is>
          <t>Risk Management</t>
        </is>
      </c>
      <c r="H20" s="17" t="inlineStr">
        <is>
          <t>R</t>
        </is>
      </c>
      <c r="I20" s="17" t="inlineStr">
        <is>
          <t>Grade B</t>
        </is>
      </c>
      <c r="J20" s="17" t="inlineStr">
        <is>
          <t>Grade A</t>
        </is>
      </c>
      <c r="L20" s="17" t="inlineStr">
        <is>
          <t>Foundational</t>
        </is>
      </c>
      <c r="M20" s="17" t="inlineStr">
        <is>
          <t>Practitioner; limited academic (Aloosh et al. 2023 partial)</t>
        </is>
      </c>
      <c r="N20" s="17" t="inlineStr">
        <is>
          <t>Negative funding = shorts paying longs (contrarian bullish); extreme positive = crowded longs</t>
        </is>
      </c>
      <c r="O20" s="17" t="inlineStr">
        <is>
          <t>PARTIAL</t>
        </is>
      </c>
      <c r="P20" s="17" t="inlineStr">
        <is>
          <t>PARTIAL</t>
        </is>
      </c>
      <c r="Q20" s="17" t="inlineStr">
        <is>
          <t>PASS</t>
        </is>
      </c>
      <c r="R20" s="17" t="inlineStr">
        <is>
          <t>PASS</t>
        </is>
      </c>
      <c r="S20" s="17" t="inlineStr">
        <is>
          <t>PASS</t>
        </is>
      </c>
      <c r="Y20" s="17" t="inlineStr">
        <is>
          <t>CoinGlass / Binance API</t>
        </is>
      </c>
      <c r="Z20" s="17" t="inlineStr">
        <is>
          <t>Daily</t>
        </is>
      </c>
      <c r="AA20" s="17" t="inlineStr">
        <is>
          <t>0-1d</t>
        </is>
      </c>
      <c r="AC20" s="16" t="n">
        <v>46127</v>
      </c>
      <c r="AD20" s="16" t="n">
        <v>46204</v>
      </c>
      <c r="AE20" s="17" t="inlineStr">
        <is>
          <t>Grade B — thin academic coverage. Used as crowding filter, not return predictor.</t>
        </is>
      </c>
    </row>
    <row r="21" ht="15" customHeight="1" s="14">
      <c r="A21" s="17" t="inlineStr">
        <is>
          <t>V017</t>
        </is>
      </c>
      <c r="B21" s="17" t="inlineStr">
        <is>
          <t>BTC ETF net flows</t>
        </is>
      </c>
      <c r="C21" s="17" t="inlineStr">
        <is>
          <t>Daily net flows into/out of US spot Bitcoin ETFs</t>
        </is>
      </c>
      <c r="D21" s="17" t="inlineStr">
        <is>
          <t>Crypto</t>
        </is>
      </c>
      <c r="E21" s="17" t="inlineStr">
        <is>
          <t>Institutional flow</t>
        </is>
      </c>
      <c r="F21" s="17" t="inlineStr">
        <is>
          <t>1-5 days</t>
        </is>
      </c>
      <c r="G21" s="17" t="inlineStr">
        <is>
          <t>Timing</t>
        </is>
      </c>
      <c r="H21" s="17" t="inlineStr">
        <is>
          <t>T</t>
        </is>
      </c>
      <c r="I21" s="17" t="inlineStr">
        <is>
          <t>Grade B</t>
        </is>
      </c>
      <c r="J21" s="17" t="inlineStr">
        <is>
          <t>Grade A</t>
        </is>
      </c>
      <c r="L21" s="17" t="inlineStr">
        <is>
          <t>Post-ETF era (2024+)</t>
        </is>
      </c>
      <c r="M21" s="17" t="inlineStr">
        <is>
          <t>No direct academic paper; institutional flow literature</t>
        </is>
      </c>
      <c r="N21" s="17" t="inlineStr">
        <is>
          <t>Institutional demand proxy; streak of outflows = de-risking, inflows = accumulation</t>
        </is>
      </c>
      <c r="O21" s="17" t="inlineStr">
        <is>
          <t>FAIL</t>
        </is>
      </c>
      <c r="P21" s="17" t="inlineStr">
        <is>
          <t>FAIL</t>
        </is>
      </c>
      <c r="Q21" s="17" t="inlineStr">
        <is>
          <t>PASS</t>
        </is>
      </c>
      <c r="R21" s="17" t="inlineStr">
        <is>
          <t>PASS</t>
        </is>
      </c>
      <c r="S21" s="17" t="inlineStr">
        <is>
          <t>PASS</t>
        </is>
      </c>
      <c r="Y21" s="17" t="inlineStr">
        <is>
          <t>Farside Investors / CoinDesk</t>
        </is>
      </c>
      <c r="Z21" s="17" t="inlineStr">
        <is>
          <t>Daily</t>
        </is>
      </c>
      <c r="AA21" s="17" t="inlineStr">
        <is>
          <t>0-1d</t>
        </is>
      </c>
      <c r="AC21" s="16" t="n">
        <v>46127</v>
      </c>
      <c r="AD21" s="16" t="n">
        <v>46204</v>
      </c>
      <c r="AE21" s="17" t="inlineStr">
        <is>
          <t>Grade B — too new for replication. Post-ETF factor stability unknown.</t>
        </is>
      </c>
      <c r="AJ21" s="17" t="inlineStr">
        <is>
          <t>Open research question: does this decay as BTC ETF market matures?</t>
        </is>
      </c>
    </row>
    <row r="22" ht="15" customHeight="1" s="14">
      <c r="A22" s="17" t="inlineStr">
        <is>
          <t>V018</t>
        </is>
      </c>
      <c r="B22" s="17" t="inlineStr">
        <is>
          <t>BTC 3m basis</t>
        </is>
      </c>
      <c r="C22" s="17" t="inlineStr">
        <is>
          <t>Annualized 3-month futures basis (Deribit/CME)</t>
        </is>
      </c>
      <c r="D22" s="17" t="inlineStr">
        <is>
          <t>Crypto</t>
        </is>
      </c>
      <c r="E22" s="17" t="inlineStr">
        <is>
          <t>Carry/Crowding</t>
        </is>
      </c>
      <c r="F22" s="17" t="inlineStr">
        <is>
          <t>1-4 weeks</t>
        </is>
      </c>
      <c r="G22" s="17" t="inlineStr">
        <is>
          <t>Risk Management</t>
        </is>
      </c>
      <c r="H22" s="17" t="inlineStr">
        <is>
          <t>R</t>
        </is>
      </c>
      <c r="I22" s="17" t="inlineStr">
        <is>
          <t>Grade B</t>
        </is>
      </c>
      <c r="J22" s="17" t="inlineStr">
        <is>
          <t>Grade A</t>
        </is>
      </c>
      <c r="L22" s="17" t="inlineStr">
        <is>
          <t>Foundational</t>
        </is>
      </c>
      <c r="M22" s="17" t="inlineStr">
        <is>
          <t>Practitioner; carry trade literature</t>
        </is>
      </c>
      <c r="N22" s="17" t="inlineStr">
        <is>
          <t>High basis = crowded long (bearish lean); negative basis = bearish positioning</t>
        </is>
      </c>
      <c r="O22" s="17" t="inlineStr">
        <is>
          <t>PARTIAL</t>
        </is>
      </c>
      <c r="P22" s="17" t="inlineStr">
        <is>
          <t>PARTIAL</t>
        </is>
      </c>
      <c r="Q22" s="17" t="inlineStr">
        <is>
          <t>PASS</t>
        </is>
      </c>
      <c r="R22" s="17" t="inlineStr">
        <is>
          <t>PASS</t>
        </is>
      </c>
      <c r="S22" s="17" t="inlineStr">
        <is>
          <t>PASS</t>
        </is>
      </c>
      <c r="Y22" s="17" t="inlineStr">
        <is>
          <t>Deribit / CME basis</t>
        </is>
      </c>
      <c r="Z22" s="17" t="inlineStr">
        <is>
          <t>Daily</t>
        </is>
      </c>
      <c r="AA22" s="17" t="inlineStr">
        <is>
          <t>0-1d</t>
        </is>
      </c>
      <c r="AC22" s="16" t="n">
        <v>46127</v>
      </c>
      <c r="AD22" s="16" t="n">
        <v>46204</v>
      </c>
      <c r="AE22" s="17" t="inlineStr">
        <is>
          <t>Grade B. Persistently MISSING in pipeline (Deribit data unreliable).</t>
        </is>
      </c>
    </row>
    <row r="23" ht="15" customHeight="1" s="14">
      <c r="A23" s="17" t="inlineStr">
        <is>
          <t>V019</t>
        </is>
      </c>
      <c r="B23" s="17" t="inlineStr">
        <is>
          <t>MVRV / SOPR</t>
        </is>
      </c>
      <c r="C23" s="17" t="inlineStr">
        <is>
          <t>Market Value to Realized Value ratio; Spent Output Profit Ratio</t>
        </is>
      </c>
      <c r="D23" s="17" t="inlineStr">
        <is>
          <t>Crypto</t>
        </is>
      </c>
      <c r="E23" s="17" t="inlineStr">
        <is>
          <t>On-chain valuation</t>
        </is>
      </c>
      <c r="F23" s="17" t="inlineStr">
        <is>
          <t>1-3 months</t>
        </is>
      </c>
      <c r="G23" s="17" t="inlineStr">
        <is>
          <t>Structural</t>
        </is>
      </c>
      <c r="H23" s="17" t="inlineStr">
        <is>
          <t>S</t>
        </is>
      </c>
      <c r="I23" s="17" t="inlineStr">
        <is>
          <t>Grade B</t>
        </is>
      </c>
      <c r="J23" s="17" t="inlineStr">
        <is>
          <t>Grade A</t>
        </is>
      </c>
      <c r="L23" s="17" t="inlineStr">
        <is>
          <t>On-chain analytics</t>
        </is>
      </c>
      <c r="M23" s="17" t="inlineStr">
        <is>
          <t>Limited academic (practitioner-dominant)</t>
        </is>
      </c>
      <c r="N23" s="17" t="inlineStr">
        <is>
          <t>MVRV&gt;3 historically preceded corrections; SOPR&lt;1 = holders selling at loss (capitulation)</t>
        </is>
      </c>
      <c r="O23" s="17" t="inlineStr">
        <is>
          <t>FAIL</t>
        </is>
      </c>
      <c r="P23" s="17" t="inlineStr">
        <is>
          <t>PARTIAL</t>
        </is>
      </c>
      <c r="Q23" s="17" t="inlineStr">
        <is>
          <t>PASS</t>
        </is>
      </c>
      <c r="R23" s="17" t="inlineStr">
        <is>
          <t>PASS</t>
        </is>
      </c>
      <c r="S23" s="17" t="inlineStr">
        <is>
          <t>PASS</t>
        </is>
      </c>
      <c r="Y23" s="17" t="inlineStr">
        <is>
          <t>Glassnode free</t>
        </is>
      </c>
      <c r="Z23" s="17" t="inlineStr">
        <is>
          <t>Daily</t>
        </is>
      </c>
      <c r="AA23" s="17" t="inlineStr">
        <is>
          <t>0-1d</t>
        </is>
      </c>
      <c r="AC23" s="16" t="n">
        <v>46127</v>
      </c>
      <c r="AD23" s="16" t="n">
        <v>46204</v>
      </c>
      <c r="AE23" s="17" t="inlineStr">
        <is>
          <t>Grade B — regime context only. No return-timing evidence for Grade A.</t>
        </is>
      </c>
    </row>
    <row r="24" ht="15" customHeight="1" s="14">
      <c r="A24" s="17" t="inlineStr">
        <is>
          <t>V020</t>
        </is>
      </c>
      <c r="B24" s="17" t="inlineStr">
        <is>
          <t>News sentiment</t>
        </is>
      </c>
      <c r="C24" s="17" t="inlineStr">
        <is>
          <t>Aggregated news sentiment scores for universe assets</t>
        </is>
      </c>
      <c r="D24" s="17" t="inlineStr">
        <is>
          <t>All</t>
        </is>
      </c>
      <c r="E24" s="17" t="inlineStr">
        <is>
          <t>Sentiment</t>
        </is>
      </c>
      <c r="F24" s="17" t="inlineStr">
        <is>
          <t>1-5 days</t>
        </is>
      </c>
      <c r="G24" s="17" t="inlineStr">
        <is>
          <t>Timing</t>
        </is>
      </c>
      <c r="H24" s="17" t="inlineStr">
        <is>
          <t>C</t>
        </is>
      </c>
      <c r="I24" s="17" t="inlineStr">
        <is>
          <t>Grade B</t>
        </is>
      </c>
      <c r="J24" s="17" t="inlineStr">
        <is>
          <t>Grade A</t>
        </is>
      </c>
      <c r="L24" s="17" t="inlineStr">
        <is>
          <t>Foundational</t>
        </is>
      </c>
      <c r="M24" s="17" t="inlineStr">
        <is>
          <t>Tetlock (2007) JF; Garcia (2013)</t>
        </is>
      </c>
      <c r="N24" s="17" t="inlineStr">
        <is>
          <t>Negative sentiment predicts short-term reversals; positive sentiment has weaker signal</t>
        </is>
      </c>
      <c r="O24" s="17" t="inlineStr">
        <is>
          <t>PASS</t>
        </is>
      </c>
      <c r="P24" s="17" t="inlineStr">
        <is>
          <t>PASS</t>
        </is>
      </c>
      <c r="Q24" s="17" t="inlineStr">
        <is>
          <t>PASS</t>
        </is>
      </c>
      <c r="R24" s="17" t="inlineStr">
        <is>
          <t>PASS</t>
        </is>
      </c>
      <c r="S24" s="17" t="inlineStr">
        <is>
          <t>PARTIAL</t>
        </is>
      </c>
      <c r="T24" s="17" t="n">
        <v>0.4</v>
      </c>
      <c r="U24" s="17" t="n">
        <v>40</v>
      </c>
      <c r="V24" s="17" t="n">
        <v>0.24</v>
      </c>
      <c r="Y24" s="17" t="inlineStr">
        <is>
          <t>News-events skill captures qualitative</t>
        </is>
      </c>
      <c r="Z24" s="17" t="inlineStr">
        <is>
          <t>Daily</t>
        </is>
      </c>
      <c r="AA24" s="17" t="inlineStr">
        <is>
          <t>0d</t>
        </is>
      </c>
      <c r="AC24" s="16" t="n">
        <v>46127</v>
      </c>
      <c r="AD24" s="16" t="n">
        <v>46204</v>
      </c>
      <c r="AE24" s="17" t="inlineStr">
        <is>
          <t>Grade B — regime-dependent; quantitative scoring not implemented</t>
        </is>
      </c>
    </row>
    <row r="25" ht="15" customHeight="1" s="14">
      <c r="A25" s="17" t="inlineStr">
        <is>
          <t>V029</t>
        </is>
      </c>
      <c r="B25" s="17" t="inlineStr">
        <is>
          <t>GEX (Gamma Exposure)</t>
        </is>
      </c>
      <c r="C25" s="17" t="inlineStr">
        <is>
          <t>Net gamma exposure of options market makers on SPX/QQQ</t>
        </is>
      </c>
      <c r="D25" s="17" t="inlineStr">
        <is>
          <t>Equities</t>
        </is>
      </c>
      <c r="E25" s="17" t="inlineStr">
        <is>
          <t>Market microstructure</t>
        </is>
      </c>
      <c r="F25" s="17" t="inlineStr">
        <is>
          <t>1-5 days</t>
        </is>
      </c>
      <c r="G25" s="17" t="inlineStr">
        <is>
          <t>Regime Filter</t>
        </is>
      </c>
      <c r="H25" s="17" t="inlineStr">
        <is>
          <t>Overlay</t>
        </is>
      </c>
      <c r="I25" s="17" t="inlineStr">
        <is>
          <t>Provisional</t>
        </is>
      </c>
      <c r="J25" s="17" t="inlineStr">
        <is>
          <t>Candidate</t>
        </is>
      </c>
      <c r="K25" s="16" t="n">
        <v>46127</v>
      </c>
      <c r="L25" s="17" t="inlineStr">
        <is>
          <t>Quarterly review pipeline</t>
        </is>
      </c>
      <c r="M25" s="17" t="inlineStr">
        <is>
          <t>Barbon-Buraschi (2021); practitioner research</t>
        </is>
      </c>
      <c r="N25" s="17" t="inlineStr">
        <is>
          <t>Positive GEX = dealers hedge by selling rallies/buying dips (mean-reverting); negative GEX = pro-cyclical hedging (trending)</t>
        </is>
      </c>
      <c r="O25" s="17" t="inlineStr">
        <is>
          <t>PASS</t>
        </is>
      </c>
      <c r="P25" s="17" t="inlineStr">
        <is>
          <t>PARTIAL</t>
        </is>
      </c>
      <c r="Q25" s="17" t="inlineStr">
        <is>
          <t>PASS</t>
        </is>
      </c>
      <c r="R25" s="17" t="inlineStr">
        <is>
          <t>PASS</t>
        </is>
      </c>
      <c r="S25" s="17" t="inlineStr">
        <is>
          <t>PARTIAL</t>
        </is>
      </c>
      <c r="Y25" s="17" t="inlineStr">
        <is>
          <t>SpotGamma / SqueezeMetrics (paid); proxies possible</t>
        </is>
      </c>
      <c r="Z25" s="17" t="inlineStr">
        <is>
          <t>Daily</t>
        </is>
      </c>
      <c r="AA25" s="17" t="inlineStr">
        <is>
          <t>0d</t>
        </is>
      </c>
      <c r="AC25" s="16" t="n">
        <v>46127</v>
      </c>
      <c r="AD25" s="16" t="n">
        <v>46204</v>
      </c>
      <c r="AE25" s="17" t="inlineStr">
        <is>
          <t>Tier 2 candidate. Needs data collection infrastructure.</t>
        </is>
      </c>
      <c r="AH25" s="17" t="n">
        <v>0</v>
      </c>
      <c r="AJ25" s="17" t="inlineStr">
        <is>
          <t>Quarterly review 2026-04-15: DEFER (need signal count). Real-time implementability depends on free proxy.</t>
        </is>
      </c>
    </row>
    <row r="26" ht="15" customHeight="1" s="14">
      <c r="A26" s="17" t="inlineStr">
        <is>
          <t>V030</t>
        </is>
      </c>
      <c r="B26" s="17" t="inlineStr">
        <is>
          <t>Cross-asset lead-lag</t>
        </is>
      </c>
      <c r="C26" s="17" t="inlineStr">
        <is>
          <t>Systematic lead-lag relationships: BTC→ETH, NVDA→semis, Copper→ISM, MOVE→VIX</t>
        </is>
      </c>
      <c r="D26" s="17" t="inlineStr">
        <is>
          <t>Cross-Asset</t>
        </is>
      </c>
      <c r="E26" s="17" t="inlineStr">
        <is>
          <t>Lead-lag</t>
        </is>
      </c>
      <c r="F26" s="17" t="inlineStr">
        <is>
          <t>1-5 days</t>
        </is>
      </c>
      <c r="G26" s="17" t="inlineStr">
        <is>
          <t>Timing</t>
        </is>
      </c>
      <c r="H26" s="17" t="inlineStr">
        <is>
          <t>T</t>
        </is>
      </c>
      <c r="I26" s="17" t="inlineStr">
        <is>
          <t>Provisional</t>
        </is>
      </c>
      <c r="J26" s="17" t="inlineStr">
        <is>
          <t>Candidate</t>
        </is>
      </c>
      <c r="K26" s="16" t="n">
        <v>46127</v>
      </c>
      <c r="L26" s="17" t="inlineStr">
        <is>
          <t>Quarterly review pipeline</t>
        </is>
      </c>
      <c r="M26" s="17" t="inlineStr">
        <is>
          <t>Lo-MacKinlay (1990) RFS; Asness-Moskowitz-Pedersen (2013)</t>
        </is>
      </c>
      <c r="N26" s="17" t="inlineStr">
        <is>
          <t>Some assets systematically lead others due to information diffusion or liquidity differences</t>
        </is>
      </c>
      <c r="O26" s="17" t="inlineStr">
        <is>
          <t>PASS</t>
        </is>
      </c>
      <c r="P26" s="17" t="inlineStr">
        <is>
          <t>PASS</t>
        </is>
      </c>
      <c r="Q26" s="17" t="inlineStr">
        <is>
          <t>PASS</t>
        </is>
      </c>
      <c r="R26" s="17" t="inlineStr">
        <is>
          <t>PARTIAL</t>
        </is>
      </c>
      <c r="S26" s="17" t="inlineStr">
        <is>
          <t>PASS</t>
        </is>
      </c>
      <c r="W26" s="17" t="inlineStr">
        <is>
          <t>May overlap with TSMOM for the led asset</t>
        </is>
      </c>
      <c r="Y26" s="17" t="inlineStr">
        <is>
          <t>Derived from existing price series</t>
        </is>
      </c>
      <c r="Z26" s="17" t="inlineStr">
        <is>
          <t>Daily</t>
        </is>
      </c>
      <c r="AA26" s="17" t="inlineStr">
        <is>
          <t>0d</t>
        </is>
      </c>
      <c r="AC26" s="16" t="n">
        <v>46127</v>
      </c>
      <c r="AD26" s="16" t="n">
        <v>46204</v>
      </c>
      <c r="AE26" s="17" t="inlineStr">
        <is>
          <t>Tier 2 candidate. Can retroactively tag with existing data.</t>
        </is>
      </c>
      <c r="AH26" s="17" t="n">
        <v>0</v>
      </c>
      <c r="AJ26" s="17" t="inlineStr">
        <is>
          <t>Quarterly review 2026-04-15: DEFER.</t>
        </is>
      </c>
    </row>
    <row r="27" ht="15" customHeight="1" s="14">
      <c r="A27" s="17" t="inlineStr">
        <is>
          <t>V031</t>
        </is>
      </c>
      <c r="B27" s="17" t="inlineStr">
        <is>
          <t>Correlation-regime signal quality</t>
        </is>
      </c>
      <c r="C27" s="17" t="inlineStr">
        <is>
          <t>Trailing 20d cross-asset correlation as quality filter</t>
        </is>
      </c>
      <c r="D27" s="17" t="inlineStr">
        <is>
          <t>Cross-Asset</t>
        </is>
      </c>
      <c r="E27" s="17" t="inlineStr">
        <is>
          <t>Regime</t>
        </is>
      </c>
      <c r="F27" s="17" t="inlineStr">
        <is>
          <t>1-4 weeks</t>
        </is>
      </c>
      <c r="G27" s="17" t="inlineStr">
        <is>
          <t>Regime Filter</t>
        </is>
      </c>
      <c r="H27" s="17" t="inlineStr">
        <is>
          <t>Overlay</t>
        </is>
      </c>
      <c r="I27" s="17" t="inlineStr">
        <is>
          <t>Provisional</t>
        </is>
      </c>
      <c r="J27" s="17" t="inlineStr">
        <is>
          <t>Candidate</t>
        </is>
      </c>
      <c r="K27" s="16" t="n">
        <v>46127</v>
      </c>
      <c r="L27" s="17" t="inlineStr">
        <is>
          <t>Quarterly review pipeline</t>
        </is>
      </c>
      <c r="M27" s="17" t="inlineStr">
        <is>
          <t>Kritzman et al. (2011) FAJ (absorption ratio)</t>
        </is>
      </c>
      <c r="N27" s="17" t="inlineStr">
        <is>
          <t>High cross-asset correlation = correlation-1 crisis regime; signals less reliable due to factor dominance</t>
        </is>
      </c>
      <c r="O27" s="17" t="inlineStr">
        <is>
          <t>PASS</t>
        </is>
      </c>
      <c r="P27" s="17" t="inlineStr">
        <is>
          <t>PASS</t>
        </is>
      </c>
      <c r="Q27" s="17" t="inlineStr">
        <is>
          <t>PASS</t>
        </is>
      </c>
      <c r="R27" s="17" t="inlineStr">
        <is>
          <t>PASS</t>
        </is>
      </c>
      <c r="S27" s="17" t="inlineStr">
        <is>
          <t>PASS</t>
        </is>
      </c>
      <c r="Y27" s="17" t="inlineStr">
        <is>
          <t>Derived from existing price series</t>
        </is>
      </c>
      <c r="Z27" s="17" t="inlineStr">
        <is>
          <t>Daily</t>
        </is>
      </c>
      <c r="AA27" s="17" t="inlineStr">
        <is>
          <t>0d</t>
        </is>
      </c>
      <c r="AC27" s="16" t="n">
        <v>46127</v>
      </c>
      <c r="AD27" s="16" t="n">
        <v>46204</v>
      </c>
      <c r="AE27" s="17" t="inlineStr">
        <is>
          <t>Tier 2 candidate. Needs 30+ closed signals.</t>
        </is>
      </c>
      <c r="AH27" s="17" t="n">
        <v>0</v>
      </c>
      <c r="AJ27" s="17" t="inlineStr">
        <is>
          <t>Quarterly review 2026-04-15: DEFER.</t>
        </is>
      </c>
    </row>
    <row r="28" ht="15" customHeight="1" s="14">
      <c r="A28" s="17" t="inlineStr">
        <is>
          <t>V032</t>
        </is>
      </c>
      <c r="B28" s="17" t="inlineStr">
        <is>
          <t>Decision tree feature importance</t>
        </is>
      </c>
      <c r="C28" s="17" t="inlineStr">
        <is>
          <t>Shallow decision tree to surface non-obvious interaction effects in scoring</t>
        </is>
      </c>
      <c r="D28" s="17" t="inlineStr">
        <is>
          <t>All</t>
        </is>
      </c>
      <c r="E28" s="17" t="inlineStr">
        <is>
          <t>Machine learning</t>
        </is>
      </c>
      <c r="F28" s="17" t="inlineStr">
        <is>
          <t>N/A</t>
        </is>
      </c>
      <c r="G28" s="17" t="inlineStr">
        <is>
          <t>Regime Filter</t>
        </is>
      </c>
      <c r="H28" s="17" t="inlineStr">
        <is>
          <t>Overlay</t>
        </is>
      </c>
      <c r="I28" s="17" t="inlineStr">
        <is>
          <t>Ungraded</t>
        </is>
      </c>
      <c r="J28" s="17" t="inlineStr">
        <is>
          <t>Candidate</t>
        </is>
      </c>
      <c r="K28" s="16" t="n">
        <v>46127</v>
      </c>
      <c r="L28" s="17" t="inlineStr">
        <is>
          <t>Quarterly review pipeline</t>
        </is>
      </c>
      <c r="M28" s="17" t="inlineStr">
        <is>
          <t>Gu-Kelly-Xiu (2020) RFS</t>
        </is>
      </c>
      <c r="N28" s="17" t="inlineStr">
        <is>
          <t>Data-driven feature importance; may reveal interactions the hand-coded interaction matrix misses</t>
        </is>
      </c>
      <c r="O28" s="17" t="inlineStr">
        <is>
          <t>PASS</t>
        </is>
      </c>
      <c r="P28" s="17" t="inlineStr">
        <is>
          <t>PASS</t>
        </is>
      </c>
      <c r="Q28" s="17" t="inlineStr">
        <is>
          <t>PASS</t>
        </is>
      </c>
      <c r="R28" s="17" t="inlineStr">
        <is>
          <t>N/A</t>
        </is>
      </c>
      <c r="S28" s="17" t="inlineStr">
        <is>
          <t>PASS</t>
        </is>
      </c>
      <c r="W28" s="17" t="inlineStr">
        <is>
          <t>Meta-variable, not standalone</t>
        </is>
      </c>
      <c r="Y28" s="17" t="inlineStr">
        <is>
          <t>Derived from ledger data</t>
        </is>
      </c>
      <c r="Z28" s="17" t="inlineStr">
        <is>
          <t>Quarterly</t>
        </is>
      </c>
      <c r="AA28" s="17" t="inlineStr">
        <is>
          <t>0d</t>
        </is>
      </c>
      <c r="AC28" s="16" t="n">
        <v>46127</v>
      </c>
      <c r="AD28" s="16" t="n">
        <v>46204</v>
      </c>
      <c r="AE28" s="17" t="inlineStr">
        <is>
          <t>Tier 3 candidate. Needs 50+ closed signals.</t>
        </is>
      </c>
      <c r="AH28" s="17" t="n">
        <v>0</v>
      </c>
      <c r="AJ28" s="17" t="inlineStr">
        <is>
          <t>Quarterly review 2026-04-15: DEFER.</t>
        </is>
      </c>
    </row>
    <row r="29" ht="15" customHeight="1" s="14">
      <c r="A29" s="17" t="inlineStr">
        <is>
          <t>V033</t>
        </is>
      </c>
      <c r="B29" s="17" t="inlineStr">
        <is>
          <t>Calendar/seasonal effects</t>
        </is>
      </c>
      <c r="C29" s="17" t="inlineStr">
        <is>
          <t>Day-of-week, OpEx proximity, FOMC week patterns</t>
        </is>
      </c>
      <c r="D29" s="17" t="inlineStr">
        <is>
          <t>All</t>
        </is>
      </c>
      <c r="E29" s="17" t="inlineStr">
        <is>
          <t>Calendar</t>
        </is>
      </c>
      <c r="F29" s="17" t="inlineStr">
        <is>
          <t>1-5 days</t>
        </is>
      </c>
      <c r="G29" s="17" t="inlineStr">
        <is>
          <t>Timing</t>
        </is>
      </c>
      <c r="H29" s="17" t="inlineStr">
        <is>
          <t>C</t>
        </is>
      </c>
      <c r="I29" s="17" t="inlineStr">
        <is>
          <t>Ungraded</t>
        </is>
      </c>
      <c r="J29" s="17" t="inlineStr">
        <is>
          <t>Candidate</t>
        </is>
      </c>
      <c r="K29" s="16" t="n">
        <v>46127</v>
      </c>
      <c r="L29" s="17" t="inlineStr">
        <is>
          <t>Quarterly review pipeline</t>
        </is>
      </c>
      <c r="M29" s="17" t="inlineStr">
        <is>
          <t>Lucca-Moench (2015) JF (pre-FOMC drift)</t>
        </is>
      </c>
      <c r="N29" s="17" t="inlineStr">
        <is>
          <t>Well-documented calendar anomalies; FOMC week drift is strongest</t>
        </is>
      </c>
      <c r="O29" s="17" t="inlineStr">
        <is>
          <t>PASS</t>
        </is>
      </c>
      <c r="P29" s="17" t="inlineStr">
        <is>
          <t>PASS</t>
        </is>
      </c>
      <c r="Q29" s="17" t="inlineStr">
        <is>
          <t>PARTIAL</t>
        </is>
      </c>
      <c r="R29" s="17" t="inlineStr">
        <is>
          <t>PASS</t>
        </is>
      </c>
      <c r="S29" s="17" t="inlineStr">
        <is>
          <t>PASS</t>
        </is>
      </c>
      <c r="T29" s="17" t="n">
        <v>0.3</v>
      </c>
      <c r="U29" s="17" t="n">
        <v>50</v>
      </c>
      <c r="V29" s="17" t="n">
        <v>0.15</v>
      </c>
      <c r="Y29" s="17" t="inlineStr">
        <is>
          <t>Derived from calendar</t>
        </is>
      </c>
      <c r="Z29" s="17" t="inlineStr">
        <is>
          <t>Daily</t>
        </is>
      </c>
      <c r="AA29" s="17" t="inlineStr">
        <is>
          <t>0d</t>
        </is>
      </c>
      <c r="AC29" s="16" t="n">
        <v>46127</v>
      </c>
      <c r="AD29" s="16" t="n">
        <v>46204</v>
      </c>
      <c r="AE29" s="17" t="inlineStr">
        <is>
          <t>Tier 3 candidate. Needs 60+ closed signals. Low projected Sharpe.</t>
        </is>
      </c>
      <c r="AH29" s="17" t="n">
        <v>0</v>
      </c>
      <c r="AJ29" s="17" t="inlineStr">
        <is>
          <t>Quarterly review 2026-04-15: DEFER. Projected operational Sharpe below 0.3 — may not be worth complexity.</t>
        </is>
      </c>
    </row>
  </sheetData>
  <autoFilter ref="A1:AJ1"/>
  <dataValidations count="7">
    <dataValidation sqref="J2:J1000" showDropDown="0" showInputMessage="0" showErrorMessage="0" allowBlank="1" promptTitle="Variable Status" prompt="Status ladder" type="list" errorStyle="stop" operator="between">
      <formula1>"Candidate,Watchlist,Under Review,Provisionally Useful,Approved,Grade A,Rejected,Retired"</formula1>
      <formula2>0</formula2>
    </dataValidation>
    <dataValidation sqref="G2:G1000" showDropDown="0" showInputMessage="0" showErrorMessage="0" allowBlank="1" type="list" errorStyle="stop" operator="between">
      <formula1>"Directional,Timing,Relative Value,Risk Management,Regime Filter,Structural"</formula1>
      <formula2>0</formula2>
    </dataValidation>
    <dataValidation sqref="H2:H1000" showDropDown="0" showInputMessage="0" showErrorMessage="0" allowBlank="1" type="list" errorStyle="stop" operator="between">
      <formula1>"S,T,C,R,Overlay,New"</formula1>
      <formula2>0</formula2>
    </dataValidation>
    <dataValidation sqref="I2:I1000" showDropDown="0" showInputMessage="0" showErrorMessage="0" allowBlank="1" type="list" errorStyle="stop" operator="between">
      <formula1>"Grade A,Grade B,Grade C,Ungraded,Provisional"</formula1>
      <formula2>0</formula2>
    </dataValidation>
    <dataValidation sqref="D2:D1000" showDropDown="0" showInputMessage="0" showErrorMessage="0" allowBlank="1" type="list" errorStyle="stop" operator="between">
      <formula1>"All,Equities,Commodities,Crypto,FX,Rates,Cross-Asset"</formula1>
      <formula2>0</formula2>
    </dataValidation>
    <dataValidation sqref="F2:F1000" showDropDown="0" showInputMessage="0" showErrorMessage="0" allowBlank="1" type="list" errorStyle="stop" operator="between">
      <formula1>"Intraday,1-5 days,1-4 weeks,1-3 months,3-12 months,Structural"</formula1>
      <formula2>0</formula2>
    </dataValidation>
    <dataValidation sqref="O2:S1000" showDropDown="0" showInputMessage="0" showErrorMessage="0" allowBlank="1" type="list" errorStyle="stop" operator="between">
      <formula1>"PASS,FAIL,PARTIAL,N/A"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2"/>
    <col width="35" customWidth="1" style="13" min="3" max="3"/>
    <col width="25" customWidth="1" style="13" min="4" max="4"/>
    <col width="10" customWidth="1" style="13" min="5" max="5"/>
    <col width="25" customWidth="1" style="13" min="6" max="6"/>
    <col width="12" customWidth="1" style="13" min="7" max="8"/>
    <col width="30" customWidth="1" style="13" min="9" max="10"/>
    <col width="20" customWidth="1" style="13" min="11" max="11"/>
    <col width="30" customWidth="1" style="13" min="12" max="12"/>
  </cols>
  <sheetData>
    <row r="1" ht="23.85" customHeight="1" s="14">
      <c r="A1" s="15" t="inlineStr">
        <is>
          <t>Date_Added</t>
        </is>
      </c>
      <c r="B1" s="15" t="inlineStr">
        <is>
          <t>Catalyst_Date</t>
        </is>
      </c>
      <c r="C1" s="15" t="inlineStr">
        <is>
          <t>Event</t>
        </is>
      </c>
      <c r="D1" s="15" t="inlineStr">
        <is>
          <t>Assets_Affected</t>
        </is>
      </c>
      <c r="E1" s="15" t="inlineStr">
        <is>
          <t>Impact_Level</t>
        </is>
      </c>
      <c r="F1" s="15" t="inlineStr">
        <is>
          <t>Expectation</t>
        </is>
      </c>
      <c r="G1" s="15" t="inlineStr">
        <is>
          <t>Outcome</t>
        </is>
      </c>
      <c r="H1" s="15" t="inlineStr">
        <is>
          <t>Outcome_Date</t>
        </is>
      </c>
      <c r="I1" s="15" t="inlineStr">
        <is>
          <t>Actual_vs_Expected</t>
        </is>
      </c>
      <c r="J1" s="15" t="inlineStr">
        <is>
          <t>Market_Reaction</t>
        </is>
      </c>
      <c r="K1" s="15" t="inlineStr">
        <is>
          <t>Signals_Dependent</t>
        </is>
      </c>
      <c r="L1" s="15" t="inlineStr">
        <is>
          <t>Source_File</t>
        </is>
      </c>
    </row>
    <row r="2" ht="15" customHeight="1" s="14">
      <c r="A2" s="16" t="n">
        <v>46126</v>
      </c>
      <c r="B2" s="16" t="n">
        <v>46127</v>
      </c>
      <c r="C2" s="17" t="inlineStr">
        <is>
          <t>Goldman Sachs BTC ETF filing</t>
        </is>
      </c>
      <c r="D2" s="17" t="inlineStr">
        <is>
          <t>BTC</t>
        </is>
      </c>
      <c r="E2" s="17" t="inlineStr">
        <is>
          <t>High</t>
        </is>
      </c>
      <c r="F2" s="17" t="inlineStr">
        <is>
          <t>Institutional entry signal</t>
        </is>
      </c>
      <c r="G2" s="17" t="inlineStr">
        <is>
          <t>SURPRISE</t>
        </is>
      </c>
      <c r="H2" s="16" t="n">
        <v>46127</v>
      </c>
      <c r="I2" s="17" t="inlineStr">
        <is>
          <t>+$411.5M ETF inflows</t>
        </is>
      </c>
      <c r="J2" s="17" t="inlineStr">
        <is>
          <t>BTC spot $75.9k high then pullback to $74.3k</t>
        </is>
      </c>
      <c r="K2" s="17" t="inlineStr">
        <is>
          <t>N/A</t>
        </is>
      </c>
      <c r="L2" s="17" t="inlineStr">
        <is>
          <t>news-2026-04-15.md</t>
        </is>
      </c>
    </row>
    <row r="3" ht="15" customHeight="1" s="14">
      <c r="A3" s="16" t="n">
        <v>46126</v>
      </c>
      <c r="B3" s="16" t="n">
        <v>46127</v>
      </c>
      <c r="C3" s="17" t="inlineStr">
        <is>
          <t>EIA weekly crude inventories</t>
        </is>
      </c>
      <c r="D3" s="17" t="inlineStr">
        <is>
          <t>Brent, WTI</t>
        </is>
      </c>
      <c r="E3" s="17" t="inlineStr">
        <is>
          <t>High</t>
        </is>
      </c>
      <c r="F3" s="17" t="inlineStr">
        <is>
          <t>Draw expected</t>
        </is>
      </c>
      <c r="G3" s="17" t="inlineStr">
        <is>
          <t>BULLISH SURPRISE: -0.9 Mb draw vs +2.1 Mb consensus. Gasoline -6.3 Mb, distillate -3.1 Mb. Oil FAILED to rally.</t>
        </is>
      </c>
      <c r="K3" s="17" t="inlineStr">
        <is>
          <t>Brent, WTI signals</t>
        </is>
      </c>
      <c r="L3" s="17" t="inlineStr">
        <is>
          <t>market-brief-2026-04-15.md</t>
        </is>
      </c>
    </row>
    <row r="4" ht="15" customHeight="1" s="14">
      <c r="A4" s="16" t="n">
        <v>46126</v>
      </c>
      <c r="B4" s="16" t="n">
        <v>46128</v>
      </c>
      <c r="C4" s="17" t="inlineStr">
        <is>
          <t>TSM Q1 earnings (02:00 ET)</t>
        </is>
      </c>
      <c r="D4" s="17" t="inlineStr">
        <is>
          <t>TSM, NVDA, QQQ, EWY</t>
        </is>
      </c>
      <c r="E4" s="17" t="inlineStr">
        <is>
          <t>High</t>
        </is>
      </c>
      <c r="F4" s="17" t="inlineStr">
        <is>
          <t>Cons EPS $3.26, rev $35.4B (+38% y/y)</t>
        </is>
      </c>
      <c r="G4" s="17" t="inlineStr">
        <is>
          <t>BEAT: Rev $35.9B (+35% y/y), GM 66.2%, Q2 guide $39-40.2B</t>
        </is>
      </c>
      <c r="K4" s="17" t="inlineStr">
        <is>
          <t>P001, P003</t>
        </is>
      </c>
      <c r="L4" s="17" t="inlineStr">
        <is>
          <t>trade-rec-2026-04-15.md</t>
        </is>
      </c>
    </row>
    <row r="5" ht="15" customHeight="1" s="14">
      <c r="A5" s="16" t="n">
        <v>46127</v>
      </c>
      <c r="B5" s="16" t="n">
        <v>46129</v>
      </c>
      <c r="C5" s="17" t="inlineStr">
        <is>
          <t>Monthly options expiry; UMich prelim</t>
        </is>
      </c>
      <c r="D5" s="17" t="inlineStr">
        <is>
          <t>SPY, QQQ, DXY</t>
        </is>
      </c>
      <c r="E5" s="17" t="inlineStr">
        <is>
          <t>Medium</t>
        </is>
      </c>
      <c r="F5" s="17" t="inlineStr">
        <is>
          <t>Positioning flush</t>
        </is>
      </c>
      <c r="G5" s="17" t="inlineStr">
        <is>
          <t>PENDING</t>
        </is>
      </c>
      <c r="L5" s="17" t="inlineStr">
        <is>
          <t>news-2026-04-15.md</t>
        </is>
      </c>
    </row>
    <row r="6" ht="15" customHeight="1" s="14">
      <c r="A6" s="16" t="n">
        <v>46127</v>
      </c>
      <c r="B6" s="16" t="n">
        <v>46133</v>
      </c>
      <c r="C6" s="17" t="inlineStr">
        <is>
          <t>Iran ceasefire expires</t>
        </is>
      </c>
      <c r="D6" s="17" t="inlineStr">
        <is>
          <t>Brent, WTI, Gold, VIX</t>
        </is>
      </c>
      <c r="E6" s="17" t="inlineStr">
        <is>
          <t>High</t>
        </is>
      </c>
      <c r="F6" s="17" t="inlineStr">
        <is>
          <t>Binary: talks resume vs escalation</t>
        </is>
      </c>
      <c r="G6" s="17" t="inlineStr">
        <is>
          <t>PENDING</t>
        </is>
      </c>
      <c r="K6" s="17" t="inlineStr">
        <is>
          <t>N012 (Brent)</t>
        </is>
      </c>
      <c r="L6" s="17" t="inlineStr">
        <is>
          <t>trade-rec-2026-04-15.md</t>
        </is>
      </c>
    </row>
    <row r="7" ht="15" customHeight="1" s="14">
      <c r="A7" s="16" t="n">
        <v>46127</v>
      </c>
      <c r="B7" s="16" t="n">
        <v>46135</v>
      </c>
      <c r="C7" s="17" t="inlineStr">
        <is>
          <t>INTC Q1 earnings (after close)</t>
        </is>
      </c>
      <c r="D7" s="17" t="inlineStr">
        <is>
          <t>INTC, QQQ</t>
        </is>
      </c>
      <c r="E7" s="17" t="inlineStr">
        <is>
          <t>High</t>
        </is>
      </c>
      <c r="F7" s="17" t="inlineStr">
        <is>
          <t>Guided rev $11.7-$12.7B; Terafab validation</t>
        </is>
      </c>
      <c r="G7" s="17" t="inlineStr">
        <is>
          <t>PENDING</t>
        </is>
      </c>
      <c r="K7" s="17" t="inlineStr">
        <is>
          <t>P003</t>
        </is>
      </c>
      <c r="L7" s="17" t="inlineStr">
        <is>
          <t>trade-rec-2026-04-15.md v3</t>
        </is>
      </c>
    </row>
    <row r="8" ht="15" customHeight="1" s="14">
      <c r="A8" s="16" t="n">
        <v>46127</v>
      </c>
      <c r="B8" s="16" t="n">
        <v>46140</v>
      </c>
      <c r="C8" s="17" t="inlineStr">
        <is>
          <t>FOMC Apr 28-29</t>
        </is>
      </c>
      <c r="D8" s="17" t="inlineStr">
        <is>
          <t>All</t>
        </is>
      </c>
      <c r="E8" s="17" t="inlineStr">
        <is>
          <t>High</t>
        </is>
      </c>
      <c r="F8" s="17" t="inlineStr">
        <is>
          <t>Statement + dots; path repricing</t>
        </is>
      </c>
      <c r="G8" s="17" t="inlineStr">
        <is>
          <t>PENDING</t>
        </is>
      </c>
      <c r="L8" s="17" t="inlineStr">
        <is>
          <t>market-brief-2026-04-15.md</t>
        </is>
      </c>
    </row>
    <row r="9">
      <c r="A9" s="26" t="n">
        <v>46128</v>
      </c>
      <c r="B9" s="26" t="n">
        <v>46129</v>
      </c>
      <c r="C9" s="13" t="inlineStr">
        <is>
          <t>Monthly options expiry; UMich prelim sentiment</t>
        </is>
      </c>
      <c r="D9" s="13" t="inlineStr">
        <is>
          <t>SPY, QQQ, DXY</t>
        </is>
      </c>
      <c r="E9" s="13" t="inlineStr">
        <is>
          <t>Medium</t>
        </is>
      </c>
      <c r="F9" s="13" t="inlineStr">
        <is>
          <t>Positioning flush</t>
        </is>
      </c>
      <c r="G9" s="13" t="inlineStr">
        <is>
          <t>PENDING</t>
        </is>
      </c>
    </row>
    <row r="10">
      <c r="A10" s="26" t="n">
        <v>46128</v>
      </c>
      <c r="B10" s="26" t="n">
        <v>46134</v>
      </c>
      <c r="C10" s="13" t="inlineStr">
        <is>
          <t>TSLA Q1 earnings (after close)</t>
        </is>
      </c>
      <c r="D10" s="13" t="inlineStr">
        <is>
          <t>TSLA, QQQ</t>
        </is>
      </c>
      <c r="E10" s="13" t="inlineStr">
        <is>
          <t>High</t>
        </is>
      </c>
      <c r="F10" s="13" t="inlineStr">
        <is>
          <t>Cons EPS $0.38, rev $22.6B</t>
        </is>
      </c>
      <c r="G10" s="13" t="inlineStr">
        <is>
          <t>PENDING</t>
        </is>
      </c>
    </row>
    <row r="11">
      <c r="A11" s="26" t="n">
        <v>46128</v>
      </c>
      <c r="B11" s="26" t="n">
        <v>46134</v>
      </c>
      <c r="C11" s="13" t="inlineStr">
        <is>
          <t>GOOGL Q1 earnings</t>
        </is>
      </c>
      <c r="D11" s="13" t="inlineStr">
        <is>
          <t>GOOGL, QQQ</t>
        </is>
      </c>
      <c r="E11" s="13" t="inlineStr">
        <is>
          <t>High</t>
        </is>
      </c>
      <c r="F11" s="13" t="inlineStr">
        <is>
          <t>Ad revenue + cloud; could push Sum toward +3</t>
        </is>
      </c>
      <c r="G11" s="13" t="inlineStr">
        <is>
          <t>PENDING</t>
        </is>
      </c>
    </row>
    <row r="12">
      <c r="A12" s="26" t="n">
        <v>46129</v>
      </c>
      <c r="B12" s="26" t="n">
        <v>46129</v>
      </c>
      <c r="C12" s="13" t="inlineStr">
        <is>
          <t>France-UK Hormuz defensive multilateral mission online meeting</t>
        </is>
      </c>
      <c r="D12" s="13" t="inlineStr">
        <is>
          <t>BRENT, WTI, GOLD, VIX</t>
        </is>
      </c>
      <c r="E12" s="13" t="inlineStr">
        <is>
          <t>Med</t>
        </is>
      </c>
      <c r="F12" s="13" t="inlineStr">
        <is>
          <t>Escalation-management; not binary</t>
        </is>
      </c>
      <c r="G12" s="13" t="inlineStr">
        <is>
          <t>PENDING (meeting today; result awaited)</t>
        </is>
      </c>
      <c r="L12" s="13" t="inlineStr">
        <is>
          <t>catalysts-cache-2026-04-17.json</t>
        </is>
      </c>
    </row>
    <row r="13">
      <c r="A13" s="26" t="n">
        <v>46129</v>
      </c>
      <c r="B13" s="26" t="n">
        <v>46133</v>
      </c>
      <c r="C13" s="13" t="inlineStr">
        <is>
          <t>Iran ceasefire expires (catalysts cache; Memory carries Apr-22)</t>
        </is>
      </c>
      <c r="D13" s="13" t="inlineStr">
        <is>
          <t>BRENT, WTI, GOLD, VIX, SPY, QQQ</t>
        </is>
      </c>
      <c r="E13" s="13" t="inlineStr">
        <is>
          <t>Critical</t>
        </is>
      </c>
      <c r="F13" s="13" t="inlineStr">
        <is>
          <t>Binary: deal = risk-on / oil down; collapse = Gold/VIX bid</t>
        </is>
      </c>
      <c r="G13" s="13" t="inlineStr">
        <is>
          <t>PENDING</t>
        </is>
      </c>
      <c r="L13" s="13" t="inlineStr">
        <is>
          <t>catalysts-cache-2026-04-17.json</t>
        </is>
      </c>
    </row>
    <row r="14">
      <c r="A14" s="26" t="n">
        <v>46129</v>
      </c>
      <c r="B14" s="26" t="n">
        <v>46140</v>
      </c>
      <c r="C14" s="13" t="inlineStr">
        <is>
          <t>USTR Section 301 public hearing (China/Taiwan/others)</t>
        </is>
      </c>
      <c r="D14" s="13" t="inlineStr">
        <is>
          <t>EWY, TSM, INTC, SPY</t>
        </is>
      </c>
      <c r="E14" s="13" t="inlineStr">
        <is>
          <t>Med</t>
        </is>
      </c>
      <c r="F14" s="13" t="inlineStr">
        <is>
          <t>Alt tariff pathway post-SCOTUS Sec-122 ruling</t>
        </is>
      </c>
      <c r="G14" s="13" t="inlineStr">
        <is>
          <t>PENDING</t>
        </is>
      </c>
      <c r="L14" s="13" t="inlineStr">
        <is>
          <t>catalysts-cache-2026-04-17.json</t>
        </is>
      </c>
    </row>
    <row r="15">
      <c r="A15" s="26" t="n">
        <v>46129</v>
      </c>
      <c r="B15" s="26" t="n">
        <v>46141</v>
      </c>
      <c r="C15" s="13" t="inlineStr">
        <is>
          <t>ECB rate decision</t>
        </is>
      </c>
      <c r="D15" s="13" t="inlineStr">
        <is>
          <t>EURUSD, DXY</t>
        </is>
      </c>
      <c r="E15" s="13" t="inlineStr">
        <is>
          <t>High</t>
        </is>
      </c>
      <c r="F15" s="13" t="inlineStr">
        <is>
          <t>Same day as FOMC</t>
        </is>
      </c>
      <c r="G15" s="13" t="inlineStr">
        <is>
          <t>PENDING</t>
        </is>
      </c>
      <c r="L15" s="13" t="inlineStr">
        <is>
          <t>catalysts-cache-2026-04-17.json</t>
        </is>
      </c>
    </row>
    <row r="16">
      <c r="A16" s="26" t="n">
        <v>46129</v>
      </c>
      <c r="B16" s="26" t="n">
        <v>46142</v>
      </c>
      <c r="C16" s="13" t="inlineStr">
        <is>
          <t>BoE rate decision</t>
        </is>
      </c>
      <c r="D16" s="13" t="inlineStr">
        <is>
          <t>GBPUSD, DXY</t>
        </is>
      </c>
      <c r="E16" s="13" t="inlineStr">
        <is>
          <t>Med</t>
        </is>
      </c>
      <c r="F16" s="13" t="inlineStr">
        <is>
          <t>Neutral</t>
        </is>
      </c>
      <c r="G16" s="13" t="inlineStr">
        <is>
          <t>PENDING</t>
        </is>
      </c>
      <c r="L16" s="13" t="inlineStr">
        <is>
          <t>catalysts-cache-2026-04-17.json</t>
        </is>
      </c>
    </row>
  </sheetData>
  <autoFilter ref="A1:L1"/>
  <dataValidations count="1">
    <dataValidation sqref="G2:G1000" showDropDown="0" showInputMessage="0" showErrorMessage="0" allowBlank="1" type="list" errorStyle="stop" operator="between">
      <formula1>"SURPRISE,IN-LINE,NO-SHOW,OPPOSITE,PENDING"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14" customWidth="1" style="13" min="2" max="2"/>
    <col width="12" customWidth="1" style="13" min="3" max="4"/>
    <col width="40" customWidth="1" style="13" min="5" max="5"/>
    <col width="10" customWidth="1" style="13" min="6" max="6"/>
    <col width="30" customWidth="1" style="13" min="7" max="7"/>
    <col width="14" customWidth="1" style="13" min="8" max="10"/>
    <col width="12" customWidth="1" style="13" min="11" max="11"/>
    <col width="25" customWidth="1" style="13" min="12" max="12"/>
    <col width="30" customWidth="1" style="13" min="13" max="13"/>
  </cols>
  <sheetData>
    <row r="1" ht="35.05" customHeight="1" s="14">
      <c r="A1" s="15" t="inlineStr">
        <is>
          <t>Date</t>
        </is>
      </c>
      <c r="B1" s="15" t="inlineStr">
        <is>
          <t>Total_GradeA_Vars</t>
        </is>
      </c>
      <c r="C1" s="15" t="inlineStr">
        <is>
          <t>Missing_Count</t>
        </is>
      </c>
      <c r="D1" s="15" t="inlineStr">
        <is>
          <t>Missing_Rate_Pct</t>
        </is>
      </c>
      <c r="E1" s="15" t="inlineStr">
        <is>
          <t>Missing_Variables</t>
        </is>
      </c>
      <c r="F1" s="15" t="inlineStr">
        <is>
          <t>Stale_Count</t>
        </is>
      </c>
      <c r="G1" s="15" t="inlineStr">
        <is>
          <t>Stale_Variables</t>
        </is>
      </c>
      <c r="H1" s="15" t="inlineStr">
        <is>
          <t>Audit_ResidMom_Status</t>
        </is>
      </c>
      <c r="I1" s="15" t="inlineStr">
        <is>
          <t>Audit_IntCap_Status</t>
        </is>
      </c>
      <c r="J1" s="15" t="inlineStr">
        <is>
          <t>Audit_BasisMom_Status</t>
        </is>
      </c>
      <c r="K1" s="15" t="inlineStr">
        <is>
          <t>Pipeline_Health</t>
        </is>
      </c>
      <c r="L1" s="15" t="inlineStr">
        <is>
          <t>Source_Brief</t>
        </is>
      </c>
      <c r="M1" s="15" t="inlineStr">
        <is>
          <t>Notes</t>
        </is>
      </c>
      <c r="N1" s="13" t="inlineStr">
        <is>
          <t>T1_Count</t>
        </is>
      </c>
      <c r="O1" s="13" t="inlineStr">
        <is>
          <t>T2_Count</t>
        </is>
      </c>
      <c r="P1" s="13" t="inlineStr">
        <is>
          <t>T3_Cache_Count</t>
        </is>
      </c>
      <c r="Q1" s="13" t="inlineStr">
        <is>
          <t>T4_Missing_Count</t>
        </is>
      </c>
      <c r="R1" s="13" t="inlineStr">
        <is>
          <t>Retrieval_Time_Sec</t>
        </is>
      </c>
      <c r="S1" s="13" t="inlineStr">
        <is>
          <t>Cache_Coverage_Pct</t>
        </is>
      </c>
    </row>
    <row r="2" ht="15" customHeight="1" s="14">
      <c r="A2" s="16" t="n">
        <v>46126</v>
      </c>
      <c r="B2" s="17" t="n">
        <v>28</v>
      </c>
      <c r="C2" s="17" t="n">
        <v>4</v>
      </c>
      <c r="D2" s="17" t="n">
        <v>14.3</v>
      </c>
      <c r="E2" s="17" t="inlineStr">
        <is>
          <t>ACM TP 10Y, BTC active addr (stale), BTC 3m basis, BTC funding</t>
        </is>
      </c>
      <c r="F2" s="17" t="n">
        <v>2</v>
      </c>
      <c r="G2" s="17" t="inlineStr">
        <is>
          <t>VIX3M (3d stale), Palladium</t>
        </is>
      </c>
      <c r="H2" s="17" t="inlineStr">
        <is>
          <t>MISSING</t>
        </is>
      </c>
      <c r="I2" s="17" t="inlineStr">
        <is>
          <t>MISSING</t>
        </is>
      </c>
      <c r="J2" s="17" t="inlineStr">
        <is>
          <t>MISSING</t>
        </is>
      </c>
      <c r="K2" s="17" t="inlineStr">
        <is>
          <t>DEGRADED</t>
        </is>
      </c>
      <c r="L2" s="17" t="inlineStr">
        <is>
          <t>market-brief-2026-04-14.md</t>
        </is>
      </c>
      <c r="M2" s="17" t="inlineStr">
        <is>
          <t>First day; audit additions not yet computed</t>
        </is>
      </c>
    </row>
    <row r="3" ht="15" customHeight="1" s="14">
      <c r="A3" s="16" t="n">
        <v>46127</v>
      </c>
      <c r="B3" s="17" t="n">
        <v>28</v>
      </c>
      <c r="C3" s="17" t="n">
        <v>4</v>
      </c>
      <c r="D3" s="17" t="n">
        <v>14.3</v>
      </c>
      <c r="E3" s="17" t="inlineStr">
        <is>
          <t>ACM TP 10Y, BTC active addr (stale Apr-12), BTC 3m basis, BTC funding</t>
        </is>
      </c>
      <c r="F3" s="17" t="n">
        <v>2</v>
      </c>
      <c r="G3" s="17" t="inlineStr">
        <is>
          <t>VIX3M (5d stale), Palladium</t>
        </is>
      </c>
      <c r="H3" s="17" t="inlineStr">
        <is>
          <t>LIVE</t>
        </is>
      </c>
      <c r="I3" s="17" t="inlineStr">
        <is>
          <t>LIVE</t>
        </is>
      </c>
      <c r="J3" s="17" t="inlineStr">
        <is>
          <t>LIVE</t>
        </is>
      </c>
      <c r="K3" s="17" t="inlineStr">
        <is>
          <t>OPERATIONAL</t>
        </is>
      </c>
      <c r="L3" s="17" t="inlineStr">
        <is>
          <t>market-brief-2026-04-15.md</t>
        </is>
      </c>
      <c r="M3" s="17" t="inlineStr">
        <is>
          <t>All 3 audit-addition pipelines now LIVE</t>
        </is>
      </c>
    </row>
    <row r="4">
      <c r="A4" s="26" t="n">
        <v>46128</v>
      </c>
      <c r="B4" s="13" t="n">
        <v>3</v>
      </c>
      <c r="C4" s="13" t="n">
        <v>0</v>
      </c>
      <c r="D4" s="13" t="n">
        <v>0</v>
      </c>
      <c r="E4" s="13" t="inlineStr">
        <is>
          <t>none</t>
        </is>
      </c>
      <c r="F4" s="13" t="inlineStr">
        <is>
          <t>LIVE</t>
        </is>
      </c>
      <c r="G4" s="13" t="inlineStr">
        <is>
          <t>STALE-OK</t>
        </is>
      </c>
      <c r="H4" s="13" t="inlineStr">
        <is>
          <t>LIVE</t>
        </is>
      </c>
      <c r="I4" s="13" t="inlineStr">
        <is>
          <t>T1:2, T2:0, T3:1, T4:0</t>
        </is>
      </c>
      <c r="J4" s="13" t="inlineStr">
        <is>
          <t>ALL_UP</t>
        </is>
      </c>
      <c r="K4" s="13" t="inlineStr">
        <is>
          <t>preflight-audit-data</t>
        </is>
      </c>
      <c r="L4" s="13" t="inlineStr">
        <is>
          <t>All sources reachable. ResidMom 12/12 via FF5 OLS. IntCap from cache (STALE-OK, 12d). BasisMom 5/5 F1-F2 via Yahoo.</t>
        </is>
      </c>
      <c r="M4" s="13" t="inlineStr">
        <is>
          <t>audit-data-staging-2026-04-16.md not produced. All 3 audit variables fail-loud. 12 single-stock T-legs blocked.</t>
        </is>
      </c>
    </row>
    <row r="5">
      <c r="A5" s="26" t="n">
        <v>46129</v>
      </c>
      <c r="B5" s="13" t="n">
        <v>39</v>
      </c>
      <c r="C5" s="13" t="n">
        <v>0</v>
      </c>
      <c r="D5" s="13" t="n">
        <v>0</v>
      </c>
      <c r="E5" s="13" t="inlineStr">
        <is>
          <t>Residual momentum (staging compute error: SPY column not found in stock returns — FF5 input)</t>
        </is>
      </c>
      <c r="F5" s="13" t="n">
        <v>2</v>
      </c>
      <c r="G5" s="13" t="inlineStr">
        <is>
          <t>BTC_ActiveAddr (3d STALE-WARN), ACM_TP_10Y (Jan-2026 STALE)</t>
        </is>
      </c>
      <c r="H5" s="13" t="inlineStr">
        <is>
          <t>LIVE</t>
        </is>
      </c>
      <c r="I5" s="13" t="inlineStr">
        <is>
          <t>LIVE</t>
        </is>
      </c>
      <c r="J5" s="13" t="inlineStr">
        <is>
          <t>LIVE</t>
        </is>
      </c>
      <c r="K5" s="13" t="inlineStr">
        <is>
          <t>OPERATIONAL</t>
        </is>
      </c>
      <c r="L5" s="13" t="inlineStr">
        <is>
          <t>market-brief-2026-04-17 v3</t>
        </is>
      </c>
      <c r="M5" s="13" t="inlineStr">
        <is>
          <t>First zero-MISSING Grade A session since audit-adds. All 3 audit-addition vars LIVE. Oil crash -9.7% Brent (possible contract-roll + Iran deal progress).</t>
        </is>
      </c>
      <c r="N5" s="13" t="n">
        <v>34</v>
      </c>
      <c r="O5" s="13" t="n">
        <v>3</v>
      </c>
      <c r="P5" s="13" t="n">
        <v>2</v>
      </c>
      <c r="Q5" s="13" t="n">
        <v>0</v>
      </c>
    </row>
  </sheetData>
  <autoFilter ref="A1:M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22" customWidth="1" style="13" min="2" max="2"/>
    <col width="8" customWidth="1" style="13" min="3" max="3"/>
    <col width="35" customWidth="1" style="13" min="4" max="4"/>
    <col width="12" customWidth="1" style="13" min="5" max="6"/>
    <col width="14" customWidth="1" style="13" min="7" max="7"/>
    <col width="12" customWidth="1" style="13" min="8" max="8"/>
    <col width="30" customWidth="1" style="13" min="9" max="9"/>
  </cols>
  <sheetData>
    <row r="1" ht="23.85" customHeight="1" s="14">
      <c r="A1" s="15" t="inlineStr">
        <is>
          <t>Date</t>
        </is>
      </c>
      <c r="B1" s="15" t="inlineStr">
        <is>
          <t>Variable</t>
        </is>
      </c>
      <c r="C1" s="15" t="inlineStr">
        <is>
          <t>Asset</t>
        </is>
      </c>
      <c r="D1" s="15" t="inlineStr">
        <is>
          <t>Direction_of_Move</t>
        </is>
      </c>
      <c r="E1" s="15" t="inlineStr">
        <is>
          <t>Score_Leg_Before</t>
        </is>
      </c>
      <c r="F1" s="15" t="inlineStr">
        <is>
          <t>Score_Leg_After</t>
        </is>
      </c>
      <c r="G1" s="15" t="inlineStr">
        <is>
          <t>Impact_on_Sum</t>
        </is>
      </c>
      <c r="H1" s="15" t="inlineStr">
        <is>
          <t>Decision_Moving</t>
        </is>
      </c>
      <c r="I1" s="15" t="inlineStr">
        <is>
          <t>Source_File</t>
        </is>
      </c>
    </row>
    <row r="2" ht="15" customHeight="1" s="14">
      <c r="A2" s="16" t="n">
        <v>46127</v>
      </c>
      <c r="B2" s="17" t="inlineStr">
        <is>
          <t>Intermediary capital ratio</t>
        </is>
      </c>
      <c r="C2" s="17" t="inlineStr">
        <is>
          <t>EWY</t>
        </is>
      </c>
      <c r="D2" s="17" t="inlineStr">
        <is>
          <t>z=+1.86, R stays 0 → resolved fail-loud caveat</t>
        </is>
      </c>
      <c r="E2" s="17" t="inlineStr">
        <is>
          <t>MISSING</t>
        </is>
      </c>
      <c r="F2" s="17" t="inlineStr">
        <is>
          <t>0</t>
        </is>
      </c>
      <c r="G2" s="17" t="inlineStr">
        <is>
          <t>EWY Sum=+3 now clean</t>
        </is>
      </c>
      <c r="H2" s="17" t="inlineStr">
        <is>
          <t>YES</t>
        </is>
      </c>
      <c r="I2" s="17" t="inlineStr">
        <is>
          <t>weekly-review-2026-04-15.md</t>
        </is>
      </c>
    </row>
    <row r="3" ht="15" customHeight="1" s="14">
      <c r="A3" s="16" t="n">
        <v>46127</v>
      </c>
      <c r="B3" s="17" t="inlineStr">
        <is>
          <t>Residual momentum</t>
        </is>
      </c>
      <c r="C3" s="17" t="inlineStr">
        <is>
          <t>All 12 stocks</t>
        </is>
      </c>
      <c r="D3" s="17" t="inlineStr">
        <is>
          <t>T=0 for all → lifted T-block</t>
        </is>
      </c>
      <c r="E3" s="17" t="inlineStr">
        <is>
          <t>MISSING</t>
        </is>
      </c>
      <c r="F3" s="17" t="inlineStr">
        <is>
          <t>0</t>
        </is>
      </c>
      <c r="G3" s="17" t="inlineStr">
        <is>
          <t>No promotions</t>
        </is>
      </c>
      <c r="H3" s="17" t="inlineStr">
        <is>
          <t>NO</t>
        </is>
      </c>
      <c r="I3" s="17" t="inlineStr">
        <is>
          <t>audit-data-staging-2026-04-15.md</t>
        </is>
      </c>
    </row>
    <row r="4" ht="15" customHeight="1" s="14">
      <c r="A4" s="16" t="n">
        <v>46127</v>
      </c>
      <c r="B4" s="17" t="inlineStr">
        <is>
          <t>Basis-momentum</t>
        </is>
      </c>
      <c r="C4" s="17" t="inlineStr">
        <is>
          <t>WTI</t>
        </is>
      </c>
      <c r="D4" s="17" t="inlineStr">
        <is>
          <t>Divergence cap fired → S capped at 0</t>
        </is>
      </c>
      <c r="E4" s="17" t="inlineStr">
        <is>
          <t>+1</t>
        </is>
      </c>
      <c r="F4" s="17" t="inlineStr">
        <is>
          <t>0</t>
        </is>
      </c>
      <c r="G4" s="17" t="inlineStr">
        <is>
          <t>Sum demoted</t>
        </is>
      </c>
      <c r="H4" s="17" t="inlineStr">
        <is>
          <t>YES</t>
        </is>
      </c>
      <c r="I4" s="17" t="inlineStr">
        <is>
          <t>audit-data-staging-2026-04-15.md</t>
        </is>
      </c>
    </row>
    <row r="5" ht="15" customHeight="1" s="14">
      <c r="A5" s="16" t="n">
        <v>46127</v>
      </c>
      <c r="B5" s="17" t="inlineStr">
        <is>
          <t>Basis-momentum</t>
        </is>
      </c>
      <c r="C5" s="17" t="inlineStr">
        <is>
          <t>Gold</t>
        </is>
      </c>
      <c r="D5" s="17" t="inlineStr">
        <is>
          <t>Divergence cap fired → S capped at 0</t>
        </is>
      </c>
      <c r="E5" s="17" t="inlineStr">
        <is>
          <t>+1</t>
        </is>
      </c>
      <c r="F5" s="17" t="inlineStr">
        <is>
          <t>0</t>
        </is>
      </c>
      <c r="G5" s="17" t="inlineStr">
        <is>
          <t>Sum demoted</t>
        </is>
      </c>
      <c r="H5" s="17" t="inlineStr">
        <is>
          <t>YES</t>
        </is>
      </c>
      <c r="I5" s="17" t="inlineStr">
        <is>
          <t>audit-data-staging-2026-04-15.md</t>
        </is>
      </c>
    </row>
    <row r="6" ht="15" customHeight="1" s="14">
      <c r="A6" s="16" t="n">
        <v>46127</v>
      </c>
      <c r="B6" s="17" t="inlineStr">
        <is>
          <t>Residual momentum</t>
        </is>
      </c>
      <c r="C6" s="17" t="inlineStr">
        <is>
          <t>TSM</t>
        </is>
      </c>
      <c r="D6" s="17" t="inlineStr">
        <is>
          <t>T: 0→+1 (residual +20.6%), promotes Sum +2→+3</t>
        </is>
      </c>
      <c r="E6" s="17" t="inlineStr">
        <is>
          <t>0</t>
        </is>
      </c>
      <c r="F6" s="17" t="inlineStr">
        <is>
          <t>+1</t>
        </is>
      </c>
      <c r="G6" s="17" t="inlineStr">
        <is>
          <t>Promoted to P002</t>
        </is>
      </c>
      <c r="H6" s="17" t="inlineStr">
        <is>
          <t>YES</t>
        </is>
      </c>
      <c r="I6" s="17" t="inlineStr">
        <is>
          <t>trade-rec-2026-04-15.md v2</t>
        </is>
      </c>
    </row>
    <row r="7" ht="15" customHeight="1" s="14">
      <c r="A7" s="16" t="n">
        <v>46127</v>
      </c>
      <c r="B7" s="17" t="inlineStr">
        <is>
          <t>Residual momentum</t>
        </is>
      </c>
      <c r="C7" s="17" t="inlineStr">
        <is>
          <t>AMZN</t>
        </is>
      </c>
      <c r="D7" s="17" t="inlineStr">
        <is>
          <t>T: 0→-1 (residual -9.3%), demotes Sum +2→+1</t>
        </is>
      </c>
      <c r="E7" s="17" t="inlineStr">
        <is>
          <t>0</t>
        </is>
      </c>
      <c r="F7" s="17" t="inlineStr">
        <is>
          <t>-1</t>
        </is>
      </c>
      <c r="G7" s="17" t="inlineStr">
        <is>
          <t>Dropped from near-miss</t>
        </is>
      </c>
      <c r="H7" s="17" t="inlineStr">
        <is>
          <t>YES</t>
        </is>
      </c>
      <c r="I7" s="17" t="inlineStr">
        <is>
          <t>trade-rec-2026-04-15.md v2</t>
        </is>
      </c>
    </row>
    <row r="8" ht="15" customHeight="1" s="14">
      <c r="A8" s="16" t="n">
        <v>46127</v>
      </c>
      <c r="B8" s="17" t="inlineStr">
        <is>
          <t>Residual momentum</t>
        </is>
      </c>
      <c r="C8" s="17" t="inlineStr">
        <is>
          <t>META</t>
        </is>
      </c>
      <c r="D8" s="17" t="inlineStr">
        <is>
          <t>T: 0→-1 (residual -12.1%), demotes Sum +2→+1</t>
        </is>
      </c>
      <c r="E8" s="17" t="inlineStr">
        <is>
          <t>0</t>
        </is>
      </c>
      <c r="F8" s="17" t="inlineStr">
        <is>
          <t>-1</t>
        </is>
      </c>
      <c r="G8" s="17" t="inlineStr">
        <is>
          <t>Dropped from near-miss</t>
        </is>
      </c>
      <c r="H8" s="17" t="inlineStr">
        <is>
          <t>YES</t>
        </is>
      </c>
      <c r="I8" s="17" t="inlineStr">
        <is>
          <t>trade-rec-2026-04-15.md v2</t>
        </is>
      </c>
    </row>
    <row r="9" ht="15" customHeight="1" s="14">
      <c r="A9" s="16" t="n">
        <v>46127</v>
      </c>
      <c r="B9" s="17" t="inlineStr">
        <is>
          <t>Residual momentum</t>
        </is>
      </c>
      <c r="C9" s="17" t="inlineStr">
        <is>
          <t>TSM</t>
        </is>
      </c>
      <c r="D9" s="17" t="inlineStr">
        <is>
          <t>T: +1→-1 (residual flipped +20.6%→-19.78%)</t>
        </is>
      </c>
      <c r="E9" s="17" t="inlineStr">
        <is>
          <t>+1</t>
        </is>
      </c>
      <c r="F9" s="17" t="inlineStr">
        <is>
          <t>-1</t>
        </is>
      </c>
      <c r="G9" s="17" t="inlineStr">
        <is>
          <t>DE-PROMOTED Sum +3→+1</t>
        </is>
      </c>
      <c r="H9" s="17" t="inlineStr">
        <is>
          <t>YES</t>
        </is>
      </c>
      <c r="I9" s="17" t="inlineStr">
        <is>
          <t>trade-rec-2026-04-15.md v3</t>
        </is>
      </c>
    </row>
    <row r="10" ht="15" customHeight="1" s="14">
      <c r="A10" s="16" t="n">
        <v>46127</v>
      </c>
      <c r="B10" s="17" t="inlineStr">
        <is>
          <t>Residual momentum</t>
        </is>
      </c>
      <c r="C10" s="17" t="inlineStr">
        <is>
          <t>GOOGL</t>
        </is>
      </c>
      <c r="D10" s="17" t="inlineStr">
        <is>
          <t>T: +1→0 (residual +29.9%→-0.20%)</t>
        </is>
      </c>
      <c r="E10" s="17" t="inlineStr">
        <is>
          <t>+1</t>
        </is>
      </c>
      <c r="F10" s="17" t="inlineStr">
        <is>
          <t>0</t>
        </is>
      </c>
      <c r="G10" s="17" t="inlineStr">
        <is>
          <t>Demoted Sum +2→+1</t>
        </is>
      </c>
      <c r="H10" s="17" t="inlineStr">
        <is>
          <t>YES</t>
        </is>
      </c>
      <c r="I10" s="17" t="inlineStr">
        <is>
          <t>trade-rec-2026-04-15.md v3</t>
        </is>
      </c>
    </row>
    <row r="11" ht="15" customHeight="1" s="14">
      <c r="A11" s="16" t="n">
        <v>46127</v>
      </c>
      <c r="B11" s="17" t="inlineStr">
        <is>
          <t>Residual momentum</t>
        </is>
      </c>
      <c r="C11" s="17" t="inlineStr">
        <is>
          <t>MU</t>
        </is>
      </c>
      <c r="D11" s="17" t="inlineStr">
        <is>
          <t>T: +1→0 (residual +88.5%→+1.44%)</t>
        </is>
      </c>
      <c r="E11" s="17" t="inlineStr">
        <is>
          <t>+1</t>
        </is>
      </c>
      <c r="F11" s="17" t="inlineStr">
        <is>
          <t>0</t>
        </is>
      </c>
      <c r="G11" s="17" t="inlineStr">
        <is>
          <t>Demoted Sum +2→+1</t>
        </is>
      </c>
      <c r="H11" s="17" t="inlineStr">
        <is>
          <t>YES</t>
        </is>
      </c>
      <c r="I11" s="17" t="inlineStr">
        <is>
          <t>trade-rec-2026-04-15.md v3</t>
        </is>
      </c>
    </row>
    <row r="12" ht="15" customHeight="1" s="14">
      <c r="A12" s="16" t="n">
        <v>46127</v>
      </c>
      <c r="B12" s="17" t="inlineStr">
        <is>
          <t>Basis-momentum</t>
        </is>
      </c>
      <c r="C12" s="17" t="inlineStr">
        <is>
          <t>WTI</t>
        </is>
      </c>
      <c r="D12" s="17" t="inlineStr">
        <is>
          <t>Divergence cap removed → S restored to +1</t>
        </is>
      </c>
      <c r="E12" s="17" t="inlineStr">
        <is>
          <t>0</t>
        </is>
      </c>
      <c r="F12" s="17" t="inlineStr">
        <is>
          <t>+1</t>
        </is>
      </c>
      <c r="G12" s="17" t="inlineStr">
        <is>
          <t>Sum restored +0→+2</t>
        </is>
      </c>
      <c r="H12" s="17" t="inlineStr">
        <is>
          <t>YES</t>
        </is>
      </c>
      <c r="I12" s="17" t="inlineStr">
        <is>
          <t>trade-rec-2026-04-15.md v3</t>
        </is>
      </c>
    </row>
    <row r="13" ht="15" customHeight="1" s="14">
      <c r="A13" s="16" t="n">
        <v>46127</v>
      </c>
      <c r="B13" s="17" t="inlineStr">
        <is>
          <t>Basis-momentum</t>
        </is>
      </c>
      <c r="C13" s="17" t="inlineStr">
        <is>
          <t>Gold</t>
        </is>
      </c>
      <c r="D13" s="17" t="inlineStr">
        <is>
          <t>Divergence cap removed → S restored to +1</t>
        </is>
      </c>
      <c r="E13" s="17" t="inlineStr">
        <is>
          <t>0</t>
        </is>
      </c>
      <c r="F13" s="17" t="inlineStr">
        <is>
          <t>+1</t>
        </is>
      </c>
      <c r="G13" s="17" t="inlineStr">
        <is>
          <t>Sum restored +1→+2</t>
        </is>
      </c>
      <c r="H13" s="17" t="inlineStr">
        <is>
          <t>YES</t>
        </is>
      </c>
      <c r="I13" s="17" t="inlineStr">
        <is>
          <t>trade-rec-2026-04-15.md v3</t>
        </is>
      </c>
    </row>
    <row r="14">
      <c r="A14" s="26" t="n">
        <v>46128</v>
      </c>
      <c r="B14" s="13" t="inlineStr">
        <is>
          <t>Residual momentum (FF5)</t>
        </is>
      </c>
      <c r="C14" s="13" t="inlineStr">
        <is>
          <t>GOOGL</t>
        </is>
      </c>
      <c r="D14" s="13" t="inlineStr">
        <is>
          <t>T unblocked: residual +30.52% → T=+1</t>
        </is>
      </c>
      <c r="E14" s="13" t="inlineStr">
        <is>
          <t>INC (MISSING)</t>
        </is>
      </c>
      <c r="F14" s="13" t="inlineStr">
        <is>
          <t>T=+1</t>
        </is>
      </c>
      <c r="G14" s="13" t="inlineStr">
        <is>
          <t>Sum INC → +3 (new |Sum|≥3 signal)</t>
        </is>
      </c>
      <c r="H14" s="13" t="inlineStr">
        <is>
          <t>YES</t>
        </is>
      </c>
      <c r="I14" s="13" t="inlineStr">
        <is>
          <t>trade-rec-2026-04-16.md v3</t>
        </is>
      </c>
    </row>
    <row r="15">
      <c r="A15" s="26" t="n">
        <v>46128</v>
      </c>
      <c r="B15" s="13" t="inlineStr">
        <is>
          <t>Residual momentum (FF5)</t>
        </is>
      </c>
      <c r="C15" s="13" t="inlineStr">
        <is>
          <t>TSM</t>
        </is>
      </c>
      <c r="D15" s="13" t="inlineStr">
        <is>
          <t>T flipped: residual -19.78%→+21.59% → T=-1→+1</t>
        </is>
      </c>
      <c r="E15" s="13" t="inlineStr">
        <is>
          <t>T=-1</t>
        </is>
      </c>
      <c r="F15" s="13" t="inlineStr">
        <is>
          <t>T=+1</t>
        </is>
      </c>
      <c r="G15" s="13" t="inlineStr">
        <is>
          <t>Sum 0 → +2 (not promotable, C=0)</t>
        </is>
      </c>
      <c r="H15" s="13" t="inlineStr">
        <is>
          <t>YES</t>
        </is>
      </c>
      <c r="I15" s="13" t="inlineStr">
        <is>
          <t>trade-rec-2026-04-16.md v3</t>
        </is>
      </c>
    </row>
    <row r="16">
      <c r="A16" s="26" t="n">
        <v>46128</v>
      </c>
      <c r="B16" s="13" t="inlineStr">
        <is>
          <t>Basis-momentum (4w/12w)</t>
        </is>
      </c>
      <c r="C16" s="13" t="inlineStr">
        <is>
          <t>WTI</t>
        </is>
      </c>
      <c r="D16" s="13" t="inlineStr">
        <is>
          <t>Divergence cap: static backwardation but 4w=-3.71 (flattening) → S capped at 0</t>
        </is>
      </c>
      <c r="E16" s="13" t="inlineStr">
        <is>
          <t>S=+1</t>
        </is>
      </c>
      <c r="F16" s="13" t="inlineStr">
        <is>
          <t>S=0</t>
        </is>
      </c>
      <c r="G16" s="13" t="inlineStr">
        <is>
          <t>Sum +1 → 0</t>
        </is>
      </c>
      <c r="H16" s="13" t="inlineStr">
        <is>
          <t>YES</t>
        </is>
      </c>
      <c r="I16" s="13" t="inlineStr">
        <is>
          <t>trade-rec-2026-04-16.md v3</t>
        </is>
      </c>
    </row>
    <row r="17">
      <c r="A17" s="26" t="n">
        <v>46128</v>
      </c>
      <c r="B17" s="13" t="inlineStr">
        <is>
          <t>Intermediary capital ratio (z-score)</t>
        </is>
      </c>
      <c r="C17" s="13" t="inlineStr">
        <is>
          <t>ALL (cross-asset R)</t>
        </is>
      </c>
      <c r="D17" s="13" t="inlineStr">
        <is>
          <t>z=+0.18 (neutral, well above -1σ threshold)</t>
        </is>
      </c>
      <c r="E17" s="13" t="inlineStr">
        <is>
          <t>R=+0</t>
        </is>
      </c>
      <c r="F17" s="13" t="inlineStr">
        <is>
          <t>R=+0</t>
        </is>
      </c>
      <c r="G17" s="13" t="inlineStr">
        <is>
          <t>No change</t>
        </is>
      </c>
      <c r="H17" s="13" t="inlineStr">
        <is>
          <t>NO</t>
        </is>
      </c>
      <c r="I17" s="13" t="inlineStr">
        <is>
          <t>trade-rec-2026-04-16.md v3</t>
        </is>
      </c>
    </row>
    <row r="18">
      <c r="A18" s="27" t="n">
        <v>46129</v>
      </c>
      <c r="B18" t="inlineStr">
        <is>
          <t>Residual momentum (FF5)</t>
        </is>
      </c>
      <c r="C18" t="inlineStr">
        <is>
          <t>GOOGL</t>
        </is>
      </c>
      <c r="D18" t="inlineStr">
        <is>
          <t>T downgraded: residual -0.80% (was +30.52% v2 Apr-16 post-compute) → T=+1 → T=0</t>
        </is>
      </c>
      <c r="E18" t="inlineStr">
        <is>
          <t>T=+1</t>
        </is>
      </c>
      <c r="F18" t="inlineStr">
        <is>
          <t>T=0</t>
        </is>
      </c>
      <c r="G18" t="inlineStr">
        <is>
          <t>Sum +3 ref → +2 actual (BLOCKED promotion)</t>
        </is>
      </c>
      <c r="H18" t="inlineStr">
        <is>
          <t>YES</t>
        </is>
      </c>
      <c r="I18" t="inlineStr">
        <is>
          <t>trade-rec-2026-04-17.md v1</t>
        </is>
      </c>
    </row>
    <row r="19">
      <c r="A19" s="27" t="n">
        <v>46129</v>
      </c>
      <c r="B19" t="inlineStr">
        <is>
          <t>Residual momentum (FF5)</t>
        </is>
      </c>
      <c r="C19" t="inlineStr">
        <is>
          <t>INTC</t>
        </is>
      </c>
      <c r="D19" t="inlineStr">
        <is>
          <t>T CONFIRMED: residual +13.89% → T=+1 (no conflict with raw +93.43%)</t>
        </is>
      </c>
      <c r="E19" t="inlineStr">
        <is>
          <t>T=+1 (ref)</t>
        </is>
      </c>
      <c r="F19" t="inlineStr">
        <is>
          <t>T=+1 (confirmed)</t>
        </is>
      </c>
      <c r="G19" t="inlineStr">
        <is>
          <t>Sum +3 confirmed (open position thesis locked)</t>
        </is>
      </c>
      <c r="H19" t="inlineStr">
        <is>
          <t>YES</t>
        </is>
      </c>
      <c r="I19" t="inlineStr">
        <is>
          <t>trade-rec-2026-04-17.md v1</t>
        </is>
      </c>
    </row>
    <row r="20">
      <c r="A20" s="27" t="n">
        <v>46129</v>
      </c>
      <c r="B20" t="inlineStr">
        <is>
          <t>Residual momentum (FF5)</t>
        </is>
      </c>
      <c r="C20" t="inlineStr">
        <is>
          <t>TSLA</t>
        </is>
      </c>
      <c r="D20" t="inlineStr">
        <is>
          <t>T-conflict resolved: residual -9.12% (trust residual) vs raw +36.03%</t>
        </is>
      </c>
      <c r="E20" t="inlineStr">
        <is>
          <t>T= blank/ref</t>
        </is>
      </c>
      <c r="F20" t="inlineStr">
        <is>
          <t>T=-1</t>
        </is>
      </c>
      <c r="G20" t="inlineStr">
        <is>
          <t>Sum +1 → 0 (T-conflict per methodology)</t>
        </is>
      </c>
      <c r="H20" t="inlineStr">
        <is>
          <t>YES</t>
        </is>
      </c>
      <c r="I20" t="inlineStr">
        <is>
          <t>trade-rec-2026-04-17.md v1</t>
        </is>
      </c>
    </row>
    <row r="21">
      <c r="A21" s="27" t="n">
        <v>46129</v>
      </c>
      <c r="B21" t="inlineStr">
        <is>
          <t>Residual momentum (FF5)</t>
        </is>
      </c>
      <c r="C21" t="inlineStr">
        <is>
          <t>PLTR</t>
        </is>
      </c>
      <c r="D21" t="inlineStr">
        <is>
          <t>T-conflict resolved: residual -35.62% (trust residual) vs raw +28.37%</t>
        </is>
      </c>
      <c r="E21" t="inlineStr">
        <is>
          <t>T= blank/ref</t>
        </is>
      </c>
      <c r="F21" t="inlineStr">
        <is>
          <t>T=-1</t>
        </is>
      </c>
      <c r="G21" t="inlineStr">
        <is>
          <t>Sum 0 → -1 (T-conflict per methodology)</t>
        </is>
      </c>
      <c r="H21" t="inlineStr">
        <is>
          <t>YES</t>
        </is>
      </c>
      <c r="I21" t="inlineStr">
        <is>
          <t>trade-rec-2026-04-17.md v1</t>
        </is>
      </c>
    </row>
    <row r="22">
      <c r="A22" s="27" t="n">
        <v>46129</v>
      </c>
      <c r="B22" t="inlineStr">
        <is>
          <t>Residual momentum (FF5)</t>
        </is>
      </c>
      <c r="C22" t="inlineStr">
        <is>
          <t>NVDA</t>
        </is>
      </c>
      <c r="D22" t="inlineStr">
        <is>
          <t>T downgraded: residual -1.00% → T=0</t>
        </is>
      </c>
      <c r="E22" t="inlineStr">
        <is>
          <t>T=+1</t>
        </is>
      </c>
      <c r="F22" t="inlineStr">
        <is>
          <t>T=0</t>
        </is>
      </c>
      <c r="G22" t="inlineStr">
        <is>
          <t>Sum +2 C-block → +1 T-block (changed blocking leg)</t>
        </is>
      </c>
      <c r="H22" t="inlineStr">
        <is>
          <t>YES</t>
        </is>
      </c>
      <c r="I22" t="inlineStr">
        <is>
          <t>trade-rec-2026-04-17.md v1</t>
        </is>
      </c>
    </row>
    <row r="23">
      <c r="A23" s="27" t="n">
        <v>46129</v>
      </c>
      <c r="B23" t="inlineStr">
        <is>
          <t>Intermediary capital ratio (z-score)</t>
        </is>
      </c>
      <c r="C23" t="inlineStr">
        <is>
          <t>ALL (cross-asset R)</t>
        </is>
      </c>
      <c r="D23" t="inlineStr">
        <is>
          <t>z=+0.18 (ratio 0.1261, 3y mean 0.1258, std 0.0018); no stress</t>
        </is>
      </c>
      <c r="E23" t="inlineStr">
        <is>
          <t>R=+0</t>
        </is>
      </c>
      <c r="F23" t="inlineStr">
        <is>
          <t>R=+0</t>
        </is>
      </c>
      <c r="G23" t="inlineStr">
        <is>
          <t>No change (z above -1σ threshold)</t>
        </is>
      </c>
      <c r="H23" t="inlineStr">
        <is>
          <t>NO</t>
        </is>
      </c>
      <c r="I23" t="inlineStr">
        <is>
          <t>trade-rec-2026-04-17.md v1</t>
        </is>
      </c>
    </row>
    <row r="24">
      <c r="A24" s="27" t="n">
        <v>46129</v>
      </c>
      <c r="B24" t="inlineStr">
        <is>
          <t>Basis-momentum (4w/12w)</t>
        </is>
      </c>
      <c r="C24" t="inlineStr">
        <is>
          <t>ALL 5 commodities</t>
        </is>
      </c>
      <c r="D24" t="inlineStr">
        <is>
          <t>All 5 computed; Brent/WTI/Copper aligned-steepening (no cap); Gold/Silver static contango (cap N/A)</t>
        </is>
      </c>
      <c r="E24" t="inlineStr">
        <is>
          <t>variable</t>
        </is>
      </c>
      <c r="F24" t="inlineStr">
        <is>
          <t>variable</t>
        </is>
      </c>
      <c r="G24" t="inlineStr">
        <is>
          <t>No divergence cap fires today</t>
        </is>
      </c>
      <c r="H24" t="inlineStr">
        <is>
          <t>NO</t>
        </is>
      </c>
      <c r="I24" t="inlineStr">
        <is>
          <t>trade-rec-2026-04-17.md v1</t>
        </is>
      </c>
    </row>
  </sheetData>
  <autoFilter ref="A1:I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13" min="1" max="1"/>
    <col width="20" customWidth="1" style="13" min="2" max="3"/>
    <col width="15" customWidth="1" style="13" min="4" max="5"/>
  </cols>
  <sheetData>
    <row r="1" ht="17.35" customHeight="1" s="14">
      <c r="A1" s="18" t="inlineStr">
        <is>
          <t>Performance Statistics</t>
        </is>
      </c>
    </row>
    <row r="3" ht="15" customHeight="1" s="14">
      <c r="A3" s="19" t="inlineStr">
        <is>
          <t>Metric</t>
        </is>
      </c>
      <c r="B3" s="19" t="inlineStr">
        <is>
          <t>Value</t>
        </is>
      </c>
      <c r="C3" s="19" t="inlineStr">
        <is>
          <t>Formula</t>
        </is>
      </c>
    </row>
    <row r="4" ht="15" customHeight="1" s="14">
      <c r="A4" s="20" t="inlineStr">
        <is>
          <t>Total Signals</t>
        </is>
      </c>
      <c r="B4" s="21">
        <f>COUNTA(SignalLedger!A2:A10000)</f>
        <v/>
      </c>
      <c r="C4" s="22" t="inlineStr">
        <is>
          <t>Count all logged signals</t>
        </is>
      </c>
    </row>
    <row r="5" ht="15" customHeight="1" s="14">
      <c r="A5" s="20" t="inlineStr">
        <is>
          <t>Promoted Signals</t>
        </is>
      </c>
      <c r="B5" s="21">
        <f>COUNTIF(SignalLedger!B2:B10000,"Promoted")</f>
        <v/>
      </c>
      <c r="C5" s="22" t="inlineStr">
        <is>
          <t>Type = Promoted</t>
        </is>
      </c>
    </row>
    <row r="6" ht="15" customHeight="1" s="14">
      <c r="A6" s="20" t="inlineStr">
        <is>
          <t>Near-Miss Signals</t>
        </is>
      </c>
      <c r="B6" s="21">
        <f>COUNTIF(SignalLedger!B2:B10000,"Near-Miss")</f>
        <v/>
      </c>
      <c r="C6" s="22" t="inlineStr">
        <is>
          <t>Type = Near-Miss</t>
        </is>
      </c>
    </row>
    <row r="7" ht="15" customHeight="1" s="14">
      <c r="A7" s="20" t="inlineStr">
        <is>
          <t>Open Signals</t>
        </is>
      </c>
      <c r="B7" s="21">
        <f>COUNTIF(SignalLedger!W2:W10000,"OPEN")</f>
        <v/>
      </c>
      <c r="C7" s="22" t="inlineStr">
        <is>
          <t>Status = OPEN</t>
        </is>
      </c>
    </row>
    <row r="8" ht="15" customHeight="1" s="14">
      <c r="A8" s="20" t="inlineStr">
        <is>
          <t>Hit Target</t>
        </is>
      </c>
      <c r="B8" s="21">
        <f>COUNTIF(SignalLedger!W2:W10000,"HIT_TARGET")</f>
        <v/>
      </c>
      <c r="C8" s="22" t="inlineStr">
        <is>
          <t>Status = HIT_TARGET</t>
        </is>
      </c>
    </row>
    <row r="9" ht="15" customHeight="1" s="14">
      <c r="A9" s="20" t="inlineStr">
        <is>
          <t>Hit Stop</t>
        </is>
      </c>
      <c r="B9" s="21">
        <f>COUNTIF(SignalLedger!W2:W10000,"HIT_STOP")</f>
        <v/>
      </c>
      <c r="C9" s="22" t="inlineStr">
        <is>
          <t>Status = HIT_STOP</t>
        </is>
      </c>
    </row>
    <row r="10" ht="15" customHeight="1" s="14">
      <c r="A10" s="20" t="inlineStr">
        <is>
          <t>Expired</t>
        </is>
      </c>
      <c r="B10" s="21">
        <f>COUNTIF(SignalLedger!W2:W10000,"EXPIRED")</f>
        <v/>
      </c>
      <c r="C10" s="22" t="inlineStr">
        <is>
          <t>Status = EXPIRED</t>
        </is>
      </c>
    </row>
    <row r="11" ht="15" customHeight="1" s="14">
      <c r="A11" s="20" t="inlineStr">
        <is>
          <t>Win Rate (closed only)</t>
        </is>
      </c>
      <c r="B11" s="21">
        <f>IFERROR(COUNTIF(SignalLedger!W2:W10000,"HIT_TARGET")/(COUNTIF(SignalLedger!W2:W10000,"HIT_TARGET")+COUNTIF(SignalLedger!W2:W10000,"HIT_STOP")+COUNTIF(SignalLedger!W2:W10000,"EXPIRED")),"-")</f>
        <v/>
      </c>
      <c r="C11" s="22" t="inlineStr">
        <is>
          <t>Target/(Target+Stop+Expired)</t>
        </is>
      </c>
    </row>
    <row r="12" ht="15" customHeight="1" s="14">
      <c r="A12" s="20" t="inlineStr">
        <is>
          <t>Avg Hypo P&amp;L %</t>
        </is>
      </c>
      <c r="B12" s="21">
        <f>IFERROR(AVERAGEIF(SignalLedger!AD2:AD10000,"&lt;&gt;"&amp;""),"-")</f>
        <v/>
      </c>
      <c r="C12" s="22" t="inlineStr">
        <is>
          <t>Average non-blank P&amp;L</t>
        </is>
      </c>
    </row>
    <row r="13" ht="15" customHeight="1" s="14">
      <c r="A13" s="20" t="inlineStr">
        <is>
          <t>Days in Operation</t>
        </is>
      </c>
      <c r="B13" s="21">
        <f>IFERROR(MAX(SignalLedger!C2:C10000)-MIN(SignalLedger!C2:C10000),0)</f>
        <v/>
      </c>
      <c r="C13" s="22" t="inlineStr">
        <is>
          <t>Max date - Min date</t>
        </is>
      </c>
    </row>
    <row r="16" ht="15" customHeight="1" s="14">
      <c r="A16" s="23" t="inlineStr">
        <is>
          <t>By Asset Class</t>
        </is>
      </c>
    </row>
    <row r="17" ht="15" customHeight="1" s="14">
      <c r="A17" s="19" t="inlineStr">
        <is>
          <t>Asset Class</t>
        </is>
      </c>
      <c r="B17" s="19" t="inlineStr">
        <is>
          <t>Signal Count</t>
        </is>
      </c>
      <c r="C17" s="19" t="inlineStr">
        <is>
          <t>Win Rate</t>
        </is>
      </c>
      <c r="D17" s="19" t="inlineStr">
        <is>
          <t>Avg Move %</t>
        </is>
      </c>
    </row>
    <row r="18" ht="15" customHeight="1" s="14">
      <c r="A18" s="20" t="inlineStr">
        <is>
          <t>Crypto</t>
        </is>
      </c>
      <c r="B18" s="21">
        <f>COUNTIF(SignalLedger!E2:E10000,"Crypto")</f>
        <v/>
      </c>
      <c r="C18" s="20" t="inlineStr">
        <is>
          <t>-</t>
        </is>
      </c>
      <c r="D18" s="20" t="inlineStr">
        <is>
          <t>-</t>
        </is>
      </c>
    </row>
    <row r="19" ht="15" customHeight="1" s="14">
      <c r="A19" s="20" t="inlineStr">
        <is>
          <t>Equities</t>
        </is>
      </c>
      <c r="B19" s="21">
        <f>COUNTIF(SignalLedger!E2:E10000,"Equities")</f>
        <v/>
      </c>
      <c r="C19" s="20" t="inlineStr">
        <is>
          <t>-</t>
        </is>
      </c>
      <c r="D19" s="20" t="inlineStr">
        <is>
          <t>-</t>
        </is>
      </c>
    </row>
    <row r="20" ht="15" customHeight="1" s="14">
      <c r="A20" s="20" t="inlineStr">
        <is>
          <t>ETFs/Indices</t>
        </is>
      </c>
      <c r="B20" s="21">
        <f>COUNTIF(SignalLedger!E2:E10000,"ETFs/Indices")</f>
        <v/>
      </c>
      <c r="C20" s="20" t="inlineStr">
        <is>
          <t>-</t>
        </is>
      </c>
      <c r="D20" s="20" t="inlineStr">
        <is>
          <t>-</t>
        </is>
      </c>
    </row>
    <row r="21" ht="15" customHeight="1" s="14">
      <c r="A21" s="20" t="inlineStr">
        <is>
          <t>Commodities</t>
        </is>
      </c>
      <c r="B21" s="21">
        <f>COUNTIF(SignalLedger!E2:E10000,"Commodities")</f>
        <v/>
      </c>
      <c r="C21" s="20" t="inlineStr">
        <is>
          <t>-</t>
        </is>
      </c>
      <c r="D21" s="20" t="inlineStr">
        <is>
          <t>-</t>
        </is>
      </c>
    </row>
    <row r="22" ht="15" customHeight="1" s="14">
      <c r="A22" s="20" t="inlineStr">
        <is>
          <t>FX</t>
        </is>
      </c>
      <c r="B22" s="21">
        <f>COUNTIF(SignalLedger!E2:E10000,"FX")</f>
        <v/>
      </c>
      <c r="C22" s="20" t="inlineStr">
        <is>
          <t>-</t>
        </is>
      </c>
      <c r="D22" s="20" t="inlineStr">
        <is>
          <t>-</t>
        </is>
      </c>
    </row>
    <row r="25" ht="15" customHeight="1" s="14">
      <c r="A25" s="23" t="inlineStr">
        <is>
          <t>By Score Component (when = +1)</t>
        </is>
      </c>
    </row>
    <row r="26" ht="15" customHeight="1" s="14">
      <c r="A26" s="19" t="inlineStr">
        <is>
          <t>Component</t>
        </is>
      </c>
      <c r="B26" s="19" t="inlineStr">
        <is>
          <t>+1 Count</t>
        </is>
      </c>
      <c r="C26" s="19" t="inlineStr">
        <is>
          <t>+1 Win Rate</t>
        </is>
      </c>
      <c r="D26" s="19" t="inlineStr">
        <is>
          <t>-1 Count</t>
        </is>
      </c>
      <c r="E26" s="19" t="inlineStr">
        <is>
          <t>-1 Win Rate</t>
        </is>
      </c>
    </row>
    <row r="27" ht="15" customHeight="1" s="14">
      <c r="A27" s="20" t="inlineStr">
        <is>
          <t>S</t>
        </is>
      </c>
      <c r="B27" s="21">
        <f>COUNTIF(SignalLedger!G2:G10000,1)</f>
        <v/>
      </c>
      <c r="C27" s="20" t="inlineStr">
        <is>
          <t>-</t>
        </is>
      </c>
      <c r="D27" s="21">
        <f>COUNTIF(SignalLedger!G2:G10000,-1)</f>
        <v/>
      </c>
      <c r="E27" s="20" t="inlineStr">
        <is>
          <t>-</t>
        </is>
      </c>
    </row>
    <row r="28" ht="15" customHeight="1" s="14">
      <c r="A28" s="20" t="inlineStr">
        <is>
          <t>T</t>
        </is>
      </c>
      <c r="B28" s="21">
        <f>COUNTIF(SignalLedger!H2:H10000,1)</f>
        <v/>
      </c>
      <c r="C28" s="20" t="inlineStr">
        <is>
          <t>-</t>
        </is>
      </c>
      <c r="D28" s="21">
        <f>COUNTIF(SignalLedger!H2:H10000,-1)</f>
        <v/>
      </c>
      <c r="E28" s="20" t="inlineStr">
        <is>
          <t>-</t>
        </is>
      </c>
    </row>
    <row r="29" ht="15" customHeight="1" s="14">
      <c r="A29" s="20" t="inlineStr">
        <is>
          <t>C</t>
        </is>
      </c>
      <c r="B29" s="21">
        <f>COUNTIF(SignalLedger!I2:I10000,1)</f>
        <v/>
      </c>
      <c r="C29" s="20" t="inlineStr">
        <is>
          <t>-</t>
        </is>
      </c>
      <c r="D29" s="21">
        <f>COUNTIF(SignalLedger!I2:I10000,-1)</f>
        <v/>
      </c>
      <c r="E29" s="20" t="inlineStr">
        <is>
          <t>-</t>
        </is>
      </c>
    </row>
    <row r="30" ht="15" customHeight="1" s="14">
      <c r="A30" s="20" t="inlineStr">
        <is>
          <t>R</t>
        </is>
      </c>
      <c r="B30" s="21">
        <f>COUNTIF(SignalLedger!J2:J10000,1)</f>
        <v/>
      </c>
      <c r="C30" s="20" t="inlineStr">
        <is>
          <t>-</t>
        </is>
      </c>
      <c r="D30" s="21">
        <f>COUNTIF(SignalLedger!J2:J10000,-1)</f>
        <v/>
      </c>
      <c r="E30" s="20" t="inlineStr">
        <is>
          <t>-</t>
        </is>
      </c>
    </row>
    <row r="33" ht="15" customHeight="1" s="14">
      <c r="A33" s="23" t="inlineStr">
        <is>
          <t>Variable Registry Summary</t>
        </is>
      </c>
    </row>
    <row r="34" ht="15" customHeight="1" s="14">
      <c r="A34" s="19" t="inlineStr">
        <is>
          <t>Status</t>
        </is>
      </c>
      <c r="B34" s="19" t="inlineStr">
        <is>
          <t>Count</t>
        </is>
      </c>
    </row>
    <row r="35" ht="15" customHeight="1" s="14">
      <c r="A35" s="20" t="inlineStr">
        <is>
          <t>Candidate</t>
        </is>
      </c>
      <c r="B35" s="21">
        <f>COUNTIF(VariableRegistry!J2:J10000,"Candidate")</f>
        <v/>
      </c>
    </row>
    <row r="36" ht="15" customHeight="1" s="14">
      <c r="A36" s="20" t="inlineStr">
        <is>
          <t>Watchlist</t>
        </is>
      </c>
      <c r="B36" s="21">
        <f>COUNTIF(VariableRegistry!J2:J10000,"Watchlist")</f>
        <v/>
      </c>
    </row>
    <row r="37" ht="15" customHeight="1" s="14">
      <c r="A37" s="20" t="inlineStr">
        <is>
          <t>Under Review</t>
        </is>
      </c>
      <c r="B37" s="21">
        <f>COUNTIF(VariableRegistry!J2:J10000,"Under Review")</f>
        <v/>
      </c>
    </row>
    <row r="38" ht="15" customHeight="1" s="14">
      <c r="A38" s="20" t="inlineStr">
        <is>
          <t>Provisionally Useful</t>
        </is>
      </c>
      <c r="B38" s="21">
        <f>COUNTIF(VariableRegistry!J2:J10000,"Provisionally Useful")</f>
        <v/>
      </c>
    </row>
    <row r="39" ht="15" customHeight="1" s="14">
      <c r="A39" s="20" t="inlineStr">
        <is>
          <t>Approved</t>
        </is>
      </c>
      <c r="B39" s="21">
        <f>COUNTIF(VariableRegistry!J2:J10000,"Approved")</f>
        <v/>
      </c>
    </row>
    <row r="40" ht="15" customHeight="1" s="14">
      <c r="A40" s="20" t="inlineStr">
        <is>
          <t>Grade A</t>
        </is>
      </c>
      <c r="B40" s="21">
        <f>COUNTIF(VariableRegistry!J2:J10000,"Grade A")</f>
        <v/>
      </c>
    </row>
    <row r="41" ht="15" customHeight="1" s="14">
      <c r="A41" s="20" t="inlineStr">
        <is>
          <t>Rejected</t>
        </is>
      </c>
      <c r="B41" s="21">
        <f>COUNTIF(VariableRegistry!J2:J10000,"Rejected")</f>
        <v/>
      </c>
    </row>
    <row r="42" ht="15" customHeight="1" s="14">
      <c r="A42" s="20" t="inlineStr">
        <is>
          <t>Retired</t>
        </is>
      </c>
      <c r="B42" s="21">
        <f>COUNTIF(VariableRegistry!J2:J10000,"Retired")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13" min="1" max="1"/>
    <col width="80" customWidth="1" style="13" min="2" max="2"/>
  </cols>
  <sheetData>
    <row r="1" ht="17.35" customHeight="1" s="14">
      <c r="A1" s="18" t="inlineStr">
        <is>
          <t>Master Data Log — Architecture Documentation</t>
        </is>
      </c>
    </row>
    <row r="2" ht="15" customHeight="1" s="14">
      <c r="A2" s="20" t="n"/>
    </row>
    <row r="3" ht="15" customHeight="1" s="14">
      <c r="A3" s="20" t="inlineStr">
        <is>
          <t>Created: 2026-04-15</t>
        </is>
      </c>
    </row>
    <row r="4" ht="15" customHeight="1" s="14">
      <c r="A4" s="20" t="inlineStr">
        <is>
          <t>Purpose: Structured analytical data store for Gerald's trading workspace</t>
        </is>
      </c>
    </row>
    <row r="5" ht="15" customHeight="1" s="14">
      <c r="A5" s="20" t="n"/>
    </row>
    <row r="6" ht="15" customHeight="1" s="14">
      <c r="A6" s="24" t="inlineStr">
        <is>
          <t>SHEET DESCRIPTIONS:</t>
        </is>
      </c>
    </row>
    <row r="7" ht="15" customHeight="1" s="14">
      <c r="A7" s="20" t="n"/>
    </row>
    <row r="8" ht="15" customHeight="1" s="14">
      <c r="A8" s="25" t="inlineStr">
        <is>
          <t>DailyVariables</t>
        </is>
      </c>
      <c r="B8" s="20" t="inlineStr">
        <is>
          <t>One row per trading day. All Grade A/B variable readings from the market brief.</t>
        </is>
      </c>
    </row>
    <row r="9" ht="15" customHeight="1" s="14">
      <c r="A9" s="20" t="n"/>
      <c r="B9" s="20" t="inlineStr">
        <is>
          <t>Producer: market-brief skill (appends row daily at 20:00 UTC+8)</t>
        </is>
      </c>
    </row>
    <row r="10" ht="15" customHeight="1" s="14">
      <c r="A10" s="20" t="n"/>
      <c r="B10" s="20" t="inlineStr">
        <is>
          <t>Consumer: signal-review, quarterly-methodology-review</t>
        </is>
      </c>
    </row>
    <row r="11" ht="15" customHeight="1" s="14">
      <c r="A11" s="20" t="n"/>
    </row>
    <row r="12" ht="15" customHeight="1" s="14">
      <c r="A12" s="25" t="inlineStr">
        <is>
          <t>SignalLedger</t>
        </is>
      </c>
      <c r="B12" s="20" t="inlineStr">
        <is>
          <t>All promoted and near-miss signals. Mirrors hypo-ledger-2026.md in structured form.</t>
        </is>
      </c>
    </row>
    <row r="13" ht="15" customHeight="1" s="14">
      <c r="A13" s="20" t="n"/>
      <c r="B13" s="20" t="inlineStr">
        <is>
          <t>Producer: daily-trade-rec skill (appends rows at 20:25 UTC+8)</t>
        </is>
      </c>
    </row>
    <row r="14" ht="15" customHeight="1" s="14">
      <c r="A14" s="20" t="n"/>
      <c r="B14" s="20" t="inlineStr">
        <is>
          <t>Consumer: signal-review (marks-to-market weekly), quarterly-review</t>
        </is>
      </c>
    </row>
    <row r="15" ht="15" customHeight="1" s="14">
      <c r="A15" s="20" t="n"/>
    </row>
    <row r="16" ht="15" customHeight="1" s="14">
      <c r="A16" s="25" t="inlineStr">
        <is>
          <t>RegimeHistory</t>
        </is>
      </c>
      <c r="B16" s="20" t="inlineStr">
        <is>
          <t>Daily regime label and state dimensions. One row per trading day.</t>
        </is>
      </c>
    </row>
    <row r="17" ht="15" customHeight="1" s="14">
      <c r="A17" s="20" t="n"/>
      <c r="B17" s="20" t="inlineStr">
        <is>
          <t>Producer: market-brief skill</t>
        </is>
      </c>
    </row>
    <row r="18" ht="15" customHeight="1" s="14">
      <c r="A18" s="20" t="n"/>
      <c r="B18" s="20" t="inlineStr">
        <is>
          <t>Consumer: signal-review (regime-conditional analysis)</t>
        </is>
      </c>
    </row>
    <row r="19" ht="15" customHeight="1" s="14">
      <c r="A19" s="20" t="n"/>
    </row>
    <row r="20" ht="15" customHeight="1" s="14">
      <c r="A20" s="25" t="inlineStr">
        <is>
          <t>VariableRegistry</t>
        </is>
      </c>
      <c r="B20" s="20" t="inlineStr">
        <is>
          <t>The variable discovery and lifecycle system.</t>
        </is>
      </c>
    </row>
    <row r="21" ht="15" customHeight="1" s="14">
      <c r="A21" s="20" t="n"/>
      <c r="B21" s="20" t="inlineStr">
        <is>
          <t>Status ladder: Candidate → Watchlist → Under Review → Provisionally Useful → Approved → Grade A</t>
        </is>
      </c>
    </row>
    <row r="22" ht="15" customHeight="1" s="14">
      <c r="A22" s="20" t="n"/>
      <c r="B22" s="20" t="inlineStr">
        <is>
          <t>Producers: literature-review (semi-annual), market-brief (daily observations), quarterly-review (promotions)</t>
        </is>
      </c>
    </row>
    <row r="23" ht="15" customHeight="1" s="14">
      <c r="A23" s="20" t="n"/>
      <c r="B23" s="20" t="inlineStr">
        <is>
          <t>Review cadence: Daily add, Weekly clean, Monthly watchlist review, Quarterly promote/demote</t>
        </is>
      </c>
    </row>
    <row r="24" ht="15" customHeight="1" s="14">
      <c r="A24" s="20" t="n"/>
    </row>
    <row r="25" ht="15" customHeight="1" s="14">
      <c r="A25" s="25" t="inlineStr">
        <is>
          <t>CatalystLog</t>
        </is>
      </c>
      <c r="B25" s="20" t="inlineStr">
        <is>
          <t>Named catalysts and their resolution outcomes.</t>
        </is>
      </c>
    </row>
    <row r="26" ht="15" customHeight="1" s="14">
      <c r="A26" s="20" t="n"/>
      <c r="B26" s="20" t="inlineStr">
        <is>
          <t>Producer: daily-trade-rec skill (from §4 catalyst map)</t>
        </is>
      </c>
    </row>
    <row r="27" ht="15" customHeight="1" s="14">
      <c r="A27" s="20" t="n"/>
      <c r="B27" s="20" t="inlineStr">
        <is>
          <t>Consumer: signal-review (catalyst resolution tracking)</t>
        </is>
      </c>
    </row>
    <row r="28" ht="15" customHeight="1" s="14">
      <c r="A28" s="20" t="n"/>
    </row>
    <row r="29" ht="15" customHeight="1" s="14">
      <c r="A29" s="25" t="inlineStr">
        <is>
          <t>DataQuality</t>
        </is>
      </c>
      <c r="B29" s="20" t="inlineStr">
        <is>
          <t>Daily data completeness tracking. MISSING rates and pipeline health.</t>
        </is>
      </c>
    </row>
    <row r="30" ht="15" customHeight="1" s="14">
      <c r="A30" s="20" t="n"/>
      <c r="B30" s="20" t="inlineStr">
        <is>
          <t>Producer: market-brief and preflight-check skills</t>
        </is>
      </c>
    </row>
    <row r="31" ht="15" customHeight="1" s="14">
      <c r="A31" s="20" t="n"/>
      <c r="B31" s="20" t="inlineStr">
        <is>
          <t>Consumer: quarterly-review (data pipeline audit)</t>
        </is>
      </c>
    </row>
    <row r="32" ht="15" customHeight="1" s="14">
      <c r="A32" s="20" t="n"/>
    </row>
    <row r="33" ht="15" customHeight="1" s="14">
      <c r="A33" s="25" t="inlineStr">
        <is>
          <t>AuditAdditionLog</t>
        </is>
      </c>
      <c r="B33" s="20" t="inlineStr">
        <is>
          <t>Contribution log for the three audit-addition variables.</t>
        </is>
      </c>
    </row>
    <row r="34" ht="15" customHeight="1" s="14">
      <c r="A34" s="20" t="n"/>
      <c r="B34" s="20" t="inlineStr">
        <is>
          <t>Replaces Memory.md §10. Evidence base for the 2026-10-14 review.</t>
        </is>
      </c>
    </row>
    <row r="35" ht="15" customHeight="1" s="14">
      <c r="A35" s="20" t="n"/>
      <c r="B35" s="20" t="inlineStr">
        <is>
          <t>Producer: daily-trade-rec skill</t>
        </is>
      </c>
    </row>
    <row r="36" ht="15" customHeight="1" s="14">
      <c r="A36" s="20" t="n"/>
    </row>
    <row r="37" ht="15" customHeight="1" s="14">
      <c r="A37" s="25" t="inlineStr">
        <is>
          <t>PerformanceStats</t>
        </is>
      </c>
      <c r="B37" s="20" t="inlineStr">
        <is>
          <t>Summary formulas referencing SignalLedger. Auto-computed.</t>
        </is>
      </c>
    </row>
    <row r="38" ht="15" customHeight="1" s="14">
      <c r="A38" s="20" t="n"/>
      <c r="B38" s="20" t="inlineStr">
        <is>
          <t>Includes win rates, asset class breakdowns, score component analysis, variable registry summary.</t>
        </is>
      </c>
    </row>
    <row r="39" ht="15" customHeight="1" s="14">
      <c r="A39" s="20" t="n"/>
    </row>
    <row r="40" ht="15" customHeight="1" s="14">
      <c r="A40" s="24" t="inlineStr">
        <is>
          <t>RULES:</t>
        </is>
      </c>
    </row>
    <row r="41" ht="15" customHeight="1" s="14">
      <c r="A41" s="25" t="inlineStr">
        <is>
          <t>1. SignalLedger is append-only. Never delete or retroactively edit rows.</t>
        </is>
      </c>
    </row>
    <row r="42" ht="15" customHeight="1" s="14">
      <c r="A42" s="25" t="inlineStr">
        <is>
          <t>2. DailyVariables: one row per trading day. Overwrite only if same-day correction (note in Source_Brief).</t>
        </is>
      </c>
    </row>
    <row r="43" ht="15" customHeight="1" s="14">
      <c r="A43" s="25" t="inlineStr">
        <is>
          <t>3. VariableRegistry: variables can change status but are never deleted. Rejected/Retired variables stay for audit trail.</t>
        </is>
      </c>
    </row>
    <row r="44" ht="15" customHeight="1" s="14">
      <c r="A44" s="25" t="inlineStr">
        <is>
          <t>4. Markdown files remain the human-readable presentation layer. This workbook is the analytical layer.</t>
        </is>
      </c>
    </row>
    <row r="45" ht="15" customHeight="1" s="14">
      <c r="A45" s="25" t="inlineStr">
        <is>
          <t>5. If markdown and Excel diverge, Excel is source of truth for quantitative data.</t>
        </is>
      </c>
    </row>
    <row r="46" ht="15" customHeight="1" s="14">
      <c r="A46" s="20" t="n"/>
    </row>
    <row r="47" ht="15" customHeight="1" s="14">
      <c r="A47" s="24" t="inlineStr">
        <is>
          <t>VARIABLE DISCOVERY SYSTEM:</t>
        </is>
      </c>
    </row>
    <row r="48" ht="15" customHeight="1" s="14">
      <c r="A48" s="25" t="inlineStr">
        <is>
          <t>Status Ladder:</t>
        </is>
      </c>
    </row>
    <row r="49" ht="15" customHeight="1" s="14">
      <c r="A49" s="20" t="inlineStr">
        <is>
          <t xml:space="preserve">  Candidate — plausible idea, not yet assessed</t>
        </is>
      </c>
    </row>
    <row r="50" ht="15" customHeight="1" s="14">
      <c r="A50" s="20" t="inlineStr">
        <is>
          <t xml:space="preserve">  Watchlist — weak or mixed evidence, worth tracking over time</t>
        </is>
      </c>
    </row>
    <row r="51" ht="15" customHeight="1" s="14">
      <c r="A51" s="20" t="inlineStr">
        <is>
          <t xml:space="preserve">  Under Review — being actively assessed with data</t>
        </is>
      </c>
    </row>
    <row r="52" ht="15" customHeight="1" s="14">
      <c r="A52" s="20" t="inlineStr">
        <is>
          <t xml:space="preserve">  Provisionally Useful — seems helpful but not fully trusted (pilot phase)</t>
        </is>
      </c>
    </row>
    <row r="53" ht="15" customHeight="1" s="14">
      <c r="A53" s="20" t="inlineStr">
        <is>
          <t xml:space="preserve">  Approved — good enough for regular use, pending Grade A evidence</t>
        </is>
      </c>
    </row>
    <row r="54" ht="15" customHeight="1" s="14">
      <c r="A54" s="20" t="inlineStr">
        <is>
          <t xml:space="preserve">  Grade A — strong evidence, repeated usefulness, in core methodology</t>
        </is>
      </c>
    </row>
    <row r="55" ht="15" customHeight="1" s="14">
      <c r="A55" s="20" t="inlineStr">
        <is>
          <t xml:space="preserve">  Rejected — failed screening or proved unhelpful; kept for audit trail</t>
        </is>
      </c>
    </row>
    <row r="56" ht="15" customHeight="1" s="14">
      <c r="A56" s="20" t="inlineStr">
        <is>
          <t xml:space="preserve">  Retired — was useful but no longer (regime change, decay, etc.)</t>
        </is>
      </c>
    </row>
    <row r="57" ht="15" customHeight="1" s="14">
      <c r="A57" s="20" t="n"/>
    </row>
    <row r="58" ht="15" customHeight="1" s="14">
      <c r="A58" s="25" t="inlineStr">
        <is>
          <t>Review Cadence:</t>
        </is>
      </c>
    </row>
    <row r="59" ht="15" customHeight="1" s="14">
      <c r="A59" s="20" t="inlineStr">
        <is>
          <t xml:space="preserve">  Daily: literature-review and market-brief can add Candidate entries</t>
        </is>
      </c>
    </row>
    <row r="60" ht="15" customHeight="1" s="14">
      <c r="A60" s="20" t="inlineStr">
        <is>
          <t xml:space="preserve">  Weekly: signal-review flags blocking patterns that suggest variable gaps</t>
        </is>
      </c>
    </row>
    <row r="61" ht="15" customHeight="1" s="14">
      <c r="A61" s="20" t="inlineStr">
        <is>
          <t xml:space="preserve">  Monthly: bootstrap-review and quarterly-review assess Watchlist promotions</t>
        </is>
      </c>
    </row>
    <row r="62" ht="15" customHeight="1" s="14">
      <c r="A62" s="20" t="inlineStr">
        <is>
          <t xml:space="preserve">  Quarterly: formal promote/demote/reject decisions with Gerald sign-off</t>
        </is>
      </c>
    </row>
    <row r="63" ht="15" customHeight="1" s="14">
      <c r="A63" s="20" t="inlineStr">
        <is>
          <t xml:space="preserve">  Semi-annual: literature-review deep scan for new academic variables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2026-04-15T14:51:13Z</dcterms:created>
  <dcterms:modified xmlns:dcterms="http://purl.org/dc/terms/" xmlns:xsi="http://www.w3.org/2001/XMLSchema-instance" xsi:type="dcterms:W3CDTF">2026-04-17T15:28:44Z</dcterms:modified>
  <cp:revision>0</cp:revision>
</cp:coreProperties>
</file>